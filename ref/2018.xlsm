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tables/table129.xml" ContentType="application/vnd.openxmlformats-officedocument.spreadsheetml.table+xml"/>
  <Override PartName="/xl/tables/table130.xml" ContentType="application/vnd.openxmlformats-officedocument.spreadsheetml.table+xml"/>
  <Override PartName="/xl/tables/table131.xml" ContentType="application/vnd.openxmlformats-officedocument.spreadsheetml.table+xml"/>
  <Override PartName="/xl/tables/table132.xml" ContentType="application/vnd.openxmlformats-officedocument.spreadsheetml.table+xml"/>
  <Override PartName="/xl/tables/table133.xml" ContentType="application/vnd.openxmlformats-officedocument.spreadsheetml.table+xml"/>
  <Override PartName="/xl/tables/table134.xml" ContentType="application/vnd.openxmlformats-officedocument.spreadsheetml.table+xml"/>
  <Override PartName="/xl/tables/table135.xml" ContentType="application/vnd.openxmlformats-officedocument.spreadsheetml.table+xml"/>
  <Override PartName="/xl/tables/table136.xml" ContentType="application/vnd.openxmlformats-officedocument.spreadsheetml.table+xml"/>
  <Override PartName="/xl/tables/table137.xml" ContentType="application/vnd.openxmlformats-officedocument.spreadsheetml.table+xml"/>
  <Override PartName="/xl/tables/table138.xml" ContentType="application/vnd.openxmlformats-officedocument.spreadsheetml.table+xml"/>
  <Override PartName="/xl/tables/table139.xml" ContentType="application/vnd.openxmlformats-officedocument.spreadsheetml.table+xml"/>
  <Override PartName="/xl/tables/table140.xml" ContentType="application/vnd.openxmlformats-officedocument.spreadsheetml.table+xml"/>
  <Override PartName="/xl/tables/table141.xml" ContentType="application/vnd.openxmlformats-officedocument.spreadsheetml.table+xml"/>
  <Override PartName="/xl/tables/table142.xml" ContentType="application/vnd.openxmlformats-officedocument.spreadsheetml.table+xml"/>
  <Override PartName="/xl/tables/table143.xml" ContentType="application/vnd.openxmlformats-officedocument.spreadsheetml.table+xml"/>
  <Override PartName="/xl/tables/table144.xml" ContentType="application/vnd.openxmlformats-officedocument.spreadsheetml.table+xml"/>
  <Override PartName="/xl/tables/table145.xml" ContentType="application/vnd.openxmlformats-officedocument.spreadsheetml.table+xml"/>
  <Override PartName="/xl/tables/table146.xml" ContentType="application/vnd.openxmlformats-officedocument.spreadsheetml.table+xml"/>
  <Override PartName="/xl/tables/table147.xml" ContentType="application/vnd.openxmlformats-officedocument.spreadsheetml.table+xml"/>
  <Override PartName="/xl/tables/table148.xml" ContentType="application/vnd.openxmlformats-officedocument.spreadsheetml.table+xml"/>
  <Override PartName="/xl/tables/table149.xml" ContentType="application/vnd.openxmlformats-officedocument.spreadsheetml.table+xml"/>
  <Override PartName="/xl/tables/table150.xml" ContentType="application/vnd.openxmlformats-officedocument.spreadsheetml.table+xml"/>
  <Override PartName="/xl/tables/table151.xml" ContentType="application/vnd.openxmlformats-officedocument.spreadsheetml.table+xml"/>
  <Override PartName="/xl/tables/table152.xml" ContentType="application/vnd.openxmlformats-officedocument.spreadsheetml.table+xml"/>
  <Override PartName="/xl/tables/table153.xml" ContentType="application/vnd.openxmlformats-officedocument.spreadsheetml.table+xml"/>
  <Override PartName="/xl/tables/table154.xml" ContentType="application/vnd.openxmlformats-officedocument.spreadsheetml.table+xml"/>
  <Override PartName="/xl/tables/table155.xml" ContentType="application/vnd.openxmlformats-officedocument.spreadsheetml.table+xml"/>
  <Override PartName="/xl/tables/table156.xml" ContentType="application/vnd.openxmlformats-officedocument.spreadsheetml.table+xml"/>
  <Override PartName="/xl/tables/table157.xml" ContentType="application/vnd.openxmlformats-officedocument.spreadsheetml.table+xml"/>
  <Override PartName="/xl/tables/table158.xml" ContentType="application/vnd.openxmlformats-officedocument.spreadsheetml.table+xml"/>
  <Override PartName="/xl/tables/table159.xml" ContentType="application/vnd.openxmlformats-officedocument.spreadsheetml.table+xml"/>
  <Override PartName="/xl/tables/table160.xml" ContentType="application/vnd.openxmlformats-officedocument.spreadsheetml.table+xml"/>
  <Override PartName="/xl/tables/table161.xml" ContentType="application/vnd.openxmlformats-officedocument.spreadsheetml.table+xml"/>
  <Override PartName="/xl/tables/table162.xml" ContentType="application/vnd.openxmlformats-officedocument.spreadsheetml.table+xml"/>
  <Override PartName="/xl/tables/table163.xml" ContentType="application/vnd.openxmlformats-officedocument.spreadsheetml.table+xml"/>
  <Override PartName="/xl/tables/table164.xml" ContentType="application/vnd.openxmlformats-officedocument.spreadsheetml.table+xml"/>
  <Override PartName="/xl/tables/table165.xml" ContentType="application/vnd.openxmlformats-officedocument.spreadsheetml.table+xml"/>
  <Override PartName="/xl/tables/table166.xml" ContentType="application/vnd.openxmlformats-officedocument.spreadsheetml.table+xml"/>
  <Override PartName="/xl/tables/table167.xml" ContentType="application/vnd.openxmlformats-officedocument.spreadsheetml.table+xml"/>
  <Override PartName="/xl/tables/table168.xml" ContentType="application/vnd.openxmlformats-officedocument.spreadsheetml.table+xml"/>
  <Override PartName="/xl/tables/table169.xml" ContentType="application/vnd.openxmlformats-officedocument.spreadsheetml.table+xml"/>
  <Override PartName="/xl/tables/table170.xml" ContentType="application/vnd.openxmlformats-officedocument.spreadsheetml.table+xml"/>
  <Override PartName="/xl/tables/table171.xml" ContentType="application/vnd.openxmlformats-officedocument.spreadsheetml.table+xml"/>
  <Override PartName="/xl/tables/table172.xml" ContentType="application/vnd.openxmlformats-officedocument.spreadsheetml.table+xml"/>
  <Override PartName="/xl/tables/table173.xml" ContentType="application/vnd.openxmlformats-officedocument.spreadsheetml.table+xml"/>
  <Override PartName="/xl/tables/table174.xml" ContentType="application/vnd.openxmlformats-officedocument.spreadsheetml.table+xml"/>
  <Override PartName="/xl/tables/table175.xml" ContentType="application/vnd.openxmlformats-officedocument.spreadsheetml.table+xml"/>
  <Override PartName="/xl/tables/table176.xml" ContentType="application/vnd.openxmlformats-officedocument.spreadsheetml.table+xml"/>
  <Override PartName="/xl/tables/table177.xml" ContentType="application/vnd.openxmlformats-officedocument.spreadsheetml.table+xml"/>
  <Override PartName="/xl/tables/table178.xml" ContentType="application/vnd.openxmlformats-officedocument.spreadsheetml.table+xml"/>
  <Override PartName="/xl/tables/table179.xml" ContentType="application/vnd.openxmlformats-officedocument.spreadsheetml.table+xml"/>
  <Override PartName="/xl/tables/table180.xml" ContentType="application/vnd.openxmlformats-officedocument.spreadsheetml.table+xml"/>
  <Override PartName="/xl/tables/table181.xml" ContentType="application/vnd.openxmlformats-officedocument.spreadsheetml.table+xml"/>
  <Override PartName="/xl/tables/table182.xml" ContentType="application/vnd.openxmlformats-officedocument.spreadsheetml.table+xml"/>
  <Override PartName="/xl/tables/table183.xml" ContentType="application/vnd.openxmlformats-officedocument.spreadsheetml.table+xml"/>
  <Override PartName="/xl/tables/table184.xml" ContentType="application/vnd.openxmlformats-officedocument.spreadsheetml.table+xml"/>
  <Override PartName="/xl/tables/table185.xml" ContentType="application/vnd.openxmlformats-officedocument.spreadsheetml.table+xml"/>
  <Override PartName="/xl/tables/table186.xml" ContentType="application/vnd.openxmlformats-officedocument.spreadsheetml.table+xml"/>
  <Override PartName="/xl/tables/table187.xml" ContentType="application/vnd.openxmlformats-officedocument.spreadsheetml.table+xml"/>
  <Override PartName="/xl/tables/table188.xml" ContentType="application/vnd.openxmlformats-officedocument.spreadsheetml.table+xml"/>
  <Override PartName="/xl/tables/table189.xml" ContentType="application/vnd.openxmlformats-officedocument.spreadsheetml.table+xml"/>
  <Override PartName="/xl/tables/table190.xml" ContentType="application/vnd.openxmlformats-officedocument.spreadsheetml.table+xml"/>
  <Override PartName="/xl/tables/table191.xml" ContentType="application/vnd.openxmlformats-officedocument.spreadsheetml.table+xml"/>
  <Override PartName="/xl/tables/table192.xml" ContentType="application/vnd.openxmlformats-officedocument.spreadsheetml.table+xml"/>
  <Override PartName="/xl/tables/table193.xml" ContentType="application/vnd.openxmlformats-officedocument.spreadsheetml.table+xml"/>
  <Override PartName="/xl/tables/table194.xml" ContentType="application/vnd.openxmlformats-officedocument.spreadsheetml.table+xml"/>
  <Override PartName="/xl/tables/table195.xml" ContentType="application/vnd.openxmlformats-officedocument.spreadsheetml.table+xml"/>
  <Override PartName="/xl/tables/table196.xml" ContentType="application/vnd.openxmlformats-officedocument.spreadsheetml.table+xml"/>
  <Override PartName="/xl/tables/table197.xml" ContentType="application/vnd.openxmlformats-officedocument.spreadsheetml.table+xml"/>
  <Override PartName="/xl/tables/table198.xml" ContentType="application/vnd.openxmlformats-officedocument.spreadsheetml.table+xml"/>
  <Override PartName="/xl/tables/table199.xml" ContentType="application/vnd.openxmlformats-officedocument.spreadsheetml.table+xml"/>
  <Override PartName="/xl/tables/table200.xml" ContentType="application/vnd.openxmlformats-officedocument.spreadsheetml.table+xml"/>
  <Override PartName="/xl/tables/table201.xml" ContentType="application/vnd.openxmlformats-officedocument.spreadsheetml.table+xml"/>
  <Override PartName="/xl/tables/table202.xml" ContentType="application/vnd.openxmlformats-officedocument.spreadsheetml.table+xml"/>
  <Override PartName="/xl/tables/table203.xml" ContentType="application/vnd.openxmlformats-officedocument.spreadsheetml.table+xml"/>
  <Override PartName="/xl/tables/table204.xml" ContentType="application/vnd.openxmlformats-officedocument.spreadsheetml.table+xml"/>
  <Override PartName="/xl/tables/table205.xml" ContentType="application/vnd.openxmlformats-officedocument.spreadsheetml.table+xml"/>
  <Override PartName="/xl/tables/table206.xml" ContentType="application/vnd.openxmlformats-officedocument.spreadsheetml.table+xml"/>
  <Override PartName="/xl/tables/table207.xml" ContentType="application/vnd.openxmlformats-officedocument.spreadsheetml.table+xml"/>
  <Override PartName="/xl/tables/table208.xml" ContentType="application/vnd.openxmlformats-officedocument.spreadsheetml.table+xml"/>
  <Override PartName="/xl/tables/table209.xml" ContentType="application/vnd.openxmlformats-officedocument.spreadsheetml.table+xml"/>
  <Override PartName="/xl/tables/table210.xml" ContentType="application/vnd.openxmlformats-officedocument.spreadsheetml.table+xml"/>
  <Override PartName="/xl/tables/table211.xml" ContentType="application/vnd.openxmlformats-officedocument.spreadsheetml.table+xml"/>
  <Override PartName="/xl/tables/table2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de\njttcup\"/>
    </mc:Choice>
  </mc:AlternateContent>
  <xr:revisionPtr revIDLastSave="0" documentId="13_ncr:1_{755E2A49-67AB-4EEE-B05F-97966E1E3CCA}" xr6:coauthVersionLast="34" xr6:coauthVersionMax="34" xr10:uidLastSave="{00000000-0000-0000-0000-000000000000}"/>
  <bookViews>
    <workbookView xWindow="0" yWindow="0" windowWidth="28770" windowHeight="12030" xr2:uid="{AABEA0A0-A1F1-4F8D-B2D7-90015C8D72E0}"/>
  </bookViews>
  <sheets>
    <sheet name="Overall" sheetId="4" r:id="rId1"/>
    <sheet name="1SH" sheetId="1" state="hidden" r:id="rId2"/>
    <sheet name="2CM" sheetId="6" state="hidden" r:id="rId3"/>
    <sheet name="3Mooch" sheetId="7" state="hidden" r:id="rId4"/>
    <sheet name="4HPHC" sheetId="8" state="hidden" r:id="rId5"/>
    <sheet name="5Somerset" sheetId="9" state="hidden" r:id="rId6"/>
    <sheet name="6Oldmans" sheetId="10" state="hidden" r:id="rId7"/>
    <sheet name="7Kingwood" sheetId="11" r:id="rId8"/>
    <sheet name="8Chatsworth" sheetId="12" r:id="rId9"/>
    <sheet name="9Sandrinos" sheetId="13" r:id="rId10"/>
    <sheet name="10Silvermine" sheetId="14" r:id="rId11"/>
    <sheet name="Teams" sheetId="3" r:id="rId12"/>
    <sheet name="Races" sheetId="5" r:id="rId13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P295" i="4" l="1"/>
  <c r="P292" i="4"/>
  <c r="P255" i="4"/>
  <c r="P206" i="4"/>
  <c r="P114" i="4"/>
  <c r="P132" i="4"/>
  <c r="P130" i="4"/>
  <c r="P90" i="4"/>
  <c r="P80" i="4"/>
  <c r="H123" i="14"/>
  <c r="B123" i="14" s="1"/>
  <c r="H124" i="14"/>
  <c r="B124" i="14" s="1"/>
  <c r="H125" i="14"/>
  <c r="B125" i="14" s="1"/>
  <c r="H126" i="14"/>
  <c r="B126" i="14" s="1"/>
  <c r="H17" i="14"/>
  <c r="B17" i="14" s="1"/>
  <c r="H18" i="14"/>
  <c r="B18" i="14" s="1"/>
  <c r="H106" i="14"/>
  <c r="B106" i="14" s="1"/>
  <c r="H114" i="14"/>
  <c r="B114" i="14" s="1"/>
  <c r="H115" i="14"/>
  <c r="B115" i="14" s="1"/>
  <c r="H116" i="14"/>
  <c r="B116" i="14" s="1"/>
  <c r="H117" i="14"/>
  <c r="B117" i="14" s="1"/>
  <c r="H118" i="14"/>
  <c r="B118" i="14" s="1"/>
  <c r="H119" i="14"/>
  <c r="B119" i="14" s="1"/>
  <c r="H120" i="14"/>
  <c r="B120" i="14" s="1"/>
  <c r="H84" i="14"/>
  <c r="B84" i="14" s="1"/>
  <c r="H85" i="14"/>
  <c r="B85" i="14" s="1"/>
  <c r="H86" i="14"/>
  <c r="B86" i="14" s="1"/>
  <c r="H87" i="14"/>
  <c r="B87" i="14" s="1"/>
  <c r="H75" i="14"/>
  <c r="B75" i="14" s="1"/>
  <c r="H76" i="14"/>
  <c r="B76" i="14" s="1"/>
  <c r="H98" i="14"/>
  <c r="B98" i="14" s="1"/>
  <c r="H137" i="14"/>
  <c r="B137" i="14" s="1"/>
  <c r="H129" i="14"/>
  <c r="B129" i="14" s="1"/>
  <c r="H130" i="14"/>
  <c r="B130" i="14" s="1"/>
  <c r="H131" i="14"/>
  <c r="B131" i="14" s="1"/>
  <c r="H132" i="14"/>
  <c r="B132" i="14" s="1"/>
  <c r="H133" i="14"/>
  <c r="B133" i="14" s="1"/>
  <c r="H134" i="14"/>
  <c r="B134" i="14" s="1"/>
  <c r="H135" i="14"/>
  <c r="B135" i="14" s="1"/>
  <c r="H136" i="14"/>
  <c r="B136" i="14" s="1"/>
  <c r="H143" i="14"/>
  <c r="B143" i="14" s="1"/>
  <c r="H142" i="14"/>
  <c r="B142" i="14" s="1"/>
  <c r="H141" i="14"/>
  <c r="B141" i="14" s="1"/>
  <c r="H140" i="14"/>
  <c r="B140" i="14" s="1"/>
  <c r="H113" i="14"/>
  <c r="B113" i="14" s="1"/>
  <c r="H112" i="14"/>
  <c r="B112" i="14" s="1"/>
  <c r="H111" i="14"/>
  <c r="B111" i="14" s="1"/>
  <c r="H110" i="14"/>
  <c r="B110" i="14" s="1"/>
  <c r="H109" i="14"/>
  <c r="B109" i="14" s="1"/>
  <c r="H105" i="14"/>
  <c r="B105" i="14" s="1"/>
  <c r="H104" i="14"/>
  <c r="B104" i="14" s="1"/>
  <c r="H103" i="14"/>
  <c r="B103" i="14" s="1"/>
  <c r="H102" i="14"/>
  <c r="B102" i="14" s="1"/>
  <c r="H101" i="14"/>
  <c r="B101" i="14" s="1"/>
  <c r="H97" i="14"/>
  <c r="B97" i="14" s="1"/>
  <c r="H96" i="14"/>
  <c r="B96" i="14" s="1"/>
  <c r="H95" i="14"/>
  <c r="B95" i="14" s="1"/>
  <c r="H94" i="14"/>
  <c r="B94" i="14" s="1"/>
  <c r="H93" i="14"/>
  <c r="B93" i="14" s="1"/>
  <c r="H92" i="14"/>
  <c r="B92" i="14" s="1"/>
  <c r="H91" i="14"/>
  <c r="B91" i="14" s="1"/>
  <c r="H90" i="14"/>
  <c r="B90" i="14" s="1"/>
  <c r="H83" i="14"/>
  <c r="B83" i="14" s="1"/>
  <c r="H82" i="14"/>
  <c r="B82" i="14" s="1"/>
  <c r="H81" i="14"/>
  <c r="B81" i="14" s="1"/>
  <c r="H80" i="14"/>
  <c r="B80" i="14" s="1"/>
  <c r="H79" i="14"/>
  <c r="B79" i="14" s="1"/>
  <c r="H74" i="14"/>
  <c r="B74" i="14" s="1"/>
  <c r="H73" i="14"/>
  <c r="B73" i="14" s="1"/>
  <c r="H72" i="14"/>
  <c r="B72" i="14" s="1"/>
  <c r="H71" i="14"/>
  <c r="B71" i="14" s="1"/>
  <c r="H70" i="14"/>
  <c r="B70" i="14" s="1"/>
  <c r="H69" i="14"/>
  <c r="B69" i="14" s="1"/>
  <c r="H68" i="14"/>
  <c r="B68" i="14" s="1"/>
  <c r="H65" i="14"/>
  <c r="B65" i="14" s="1"/>
  <c r="H64" i="14"/>
  <c r="B64" i="14" s="1"/>
  <c r="H63" i="14"/>
  <c r="B63" i="14" s="1"/>
  <c r="H62" i="14"/>
  <c r="B62" i="14" s="1"/>
  <c r="H61" i="14"/>
  <c r="B61" i="14" s="1"/>
  <c r="H60" i="14"/>
  <c r="B60" i="14" s="1"/>
  <c r="H59" i="14"/>
  <c r="B59" i="14" s="1"/>
  <c r="H58" i="14"/>
  <c r="B58" i="14" s="1"/>
  <c r="H57" i="14"/>
  <c r="B57" i="14" s="1"/>
  <c r="H54" i="14"/>
  <c r="B54" i="14" s="1"/>
  <c r="H53" i="14"/>
  <c r="B53" i="14" s="1"/>
  <c r="H52" i="14"/>
  <c r="B52" i="14" s="1"/>
  <c r="H51" i="14"/>
  <c r="B51" i="14" s="1"/>
  <c r="H48" i="14"/>
  <c r="B48" i="14" s="1"/>
  <c r="H47" i="14"/>
  <c r="B47" i="14" s="1"/>
  <c r="H46" i="14"/>
  <c r="B46" i="14" s="1"/>
  <c r="H45" i="14"/>
  <c r="B45" i="14" s="1"/>
  <c r="H44" i="14"/>
  <c r="B44" i="14" s="1"/>
  <c r="H16" i="14"/>
  <c r="B16" i="14" s="1"/>
  <c r="H15" i="14"/>
  <c r="B15" i="14" s="1"/>
  <c r="H14" i="14"/>
  <c r="B14" i="14" s="1"/>
  <c r="H13" i="14"/>
  <c r="B13" i="14" s="1"/>
  <c r="H10" i="14"/>
  <c r="B10" i="14" s="1"/>
  <c r="H9" i="14"/>
  <c r="B9" i="14" s="1"/>
  <c r="H8" i="14"/>
  <c r="B8" i="14" s="1"/>
  <c r="H7" i="14"/>
  <c r="B7" i="14" s="1"/>
  <c r="H6" i="14"/>
  <c r="B6" i="14" s="1"/>
  <c r="H5" i="14"/>
  <c r="B5" i="14" s="1"/>
  <c r="H4" i="14"/>
  <c r="B4" i="14" s="1"/>
  <c r="H3" i="14"/>
  <c r="B3" i="14" s="1"/>
  <c r="H2" i="14"/>
  <c r="B2" i="14" s="1"/>
  <c r="Q295" i="4"/>
  <c r="Q255" i="4"/>
  <c r="Q206" i="4"/>
  <c r="Q132" i="4"/>
  <c r="Q130" i="4"/>
  <c r="Q90" i="4"/>
  <c r="Q80" i="4"/>
  <c r="Q292" i="4"/>
  <c r="P236" i="4" l="1"/>
  <c r="P227" i="4"/>
  <c r="Q227" i="4"/>
  <c r="Q236" i="4"/>
  <c r="P355" i="4" l="1"/>
  <c r="P338" i="4"/>
  <c r="P334" i="4"/>
  <c r="P333" i="4"/>
  <c r="P281" i="4"/>
  <c r="P108" i="4"/>
  <c r="P89" i="4"/>
  <c r="P23" i="4"/>
  <c r="H211" i="12"/>
  <c r="H212" i="12"/>
  <c r="H213" i="12"/>
  <c r="H214" i="12"/>
  <c r="H215" i="12"/>
  <c r="H216" i="12"/>
  <c r="H217" i="12"/>
  <c r="H218" i="12"/>
  <c r="P38" i="4"/>
  <c r="P36" i="4"/>
  <c r="P35" i="4"/>
  <c r="P33" i="4"/>
  <c r="P31" i="4"/>
  <c r="P29" i="4"/>
  <c r="P27" i="4"/>
  <c r="P26" i="4"/>
  <c r="P18" i="4"/>
  <c r="P16" i="4"/>
  <c r="P15" i="4"/>
  <c r="P14" i="4"/>
  <c r="Q29" i="4"/>
  <c r="Q333" i="4"/>
  <c r="Q23" i="4"/>
  <c r="Q18" i="4"/>
  <c r="Q38" i="4"/>
  <c r="Q338" i="4"/>
  <c r="Q31" i="4"/>
  <c r="Q27" i="4"/>
  <c r="Q15" i="4"/>
  <c r="Q14" i="4"/>
  <c r="Q355" i="4"/>
  <c r="Q35" i="4"/>
  <c r="Q16" i="4"/>
  <c r="Q334" i="4"/>
  <c r="Q108" i="4"/>
  <c r="Q36" i="4"/>
  <c r="Q33" i="4"/>
  <c r="Q89" i="4"/>
  <c r="Q26" i="4"/>
  <c r="Q281" i="4"/>
  <c r="H126" i="13" l="1"/>
  <c r="B126" i="13" s="1"/>
  <c r="H127" i="13"/>
  <c r="B127" i="13" s="1"/>
  <c r="H128" i="13"/>
  <c r="B128" i="13" s="1"/>
  <c r="H16" i="13"/>
  <c r="B16" i="13" s="1"/>
  <c r="H13" i="13"/>
  <c r="B13" i="13" s="1"/>
  <c r="H14" i="13"/>
  <c r="B14" i="13" s="1"/>
  <c r="H15" i="13"/>
  <c r="B15" i="13" s="1"/>
  <c r="H99" i="13"/>
  <c r="B99" i="13" s="1"/>
  <c r="H100" i="13"/>
  <c r="B100" i="13" s="1"/>
  <c r="H66" i="13"/>
  <c r="B66" i="13" s="1"/>
  <c r="H67" i="13"/>
  <c r="B67" i="13" s="1"/>
  <c r="H125" i="13"/>
  <c r="B125" i="13" s="1"/>
  <c r="H122" i="13"/>
  <c r="B122" i="13" s="1"/>
  <c r="H121" i="13"/>
  <c r="B121" i="13" s="1"/>
  <c r="H120" i="13"/>
  <c r="B120" i="13" s="1"/>
  <c r="H119" i="13"/>
  <c r="B119" i="13" s="1"/>
  <c r="H118" i="13"/>
  <c r="B118" i="13" s="1"/>
  <c r="H117" i="13"/>
  <c r="B117" i="13" s="1"/>
  <c r="H116" i="13"/>
  <c r="B116" i="13" s="1"/>
  <c r="H115" i="13"/>
  <c r="B115" i="13" s="1"/>
  <c r="H112" i="13"/>
  <c r="B112" i="13" s="1"/>
  <c r="H111" i="13"/>
  <c r="B111" i="13" s="1"/>
  <c r="H110" i="13"/>
  <c r="B110" i="13" s="1"/>
  <c r="H107" i="13"/>
  <c r="B107" i="13" s="1"/>
  <c r="H106" i="13"/>
  <c r="B106" i="13" s="1"/>
  <c r="H105" i="13"/>
  <c r="B105" i="13" s="1"/>
  <c r="H104" i="13"/>
  <c r="B104" i="13" s="1"/>
  <c r="H103" i="13"/>
  <c r="B103" i="13" s="1"/>
  <c r="H98" i="13"/>
  <c r="B98" i="13" s="1"/>
  <c r="H97" i="13"/>
  <c r="B97" i="13" s="1"/>
  <c r="H96" i="13"/>
  <c r="B96" i="13" s="1"/>
  <c r="H93" i="13"/>
  <c r="B93" i="13" s="1"/>
  <c r="H92" i="13"/>
  <c r="B92" i="13" s="1"/>
  <c r="H91" i="13"/>
  <c r="B91" i="13" s="1"/>
  <c r="H90" i="13"/>
  <c r="B90" i="13" s="1"/>
  <c r="H89" i="13"/>
  <c r="B89" i="13" s="1"/>
  <c r="H88" i="13"/>
  <c r="B88" i="13" s="1"/>
  <c r="H87" i="13"/>
  <c r="B87" i="13" s="1"/>
  <c r="H86" i="13"/>
  <c r="B86" i="13" s="1"/>
  <c r="H83" i="13"/>
  <c r="B83" i="13" s="1"/>
  <c r="H82" i="13"/>
  <c r="B82" i="13" s="1"/>
  <c r="H81" i="13"/>
  <c r="B81" i="13" s="1"/>
  <c r="H80" i="13"/>
  <c r="B80" i="13" s="1"/>
  <c r="H79" i="13"/>
  <c r="B79" i="13" s="1"/>
  <c r="H76" i="13"/>
  <c r="B76" i="13" s="1"/>
  <c r="H75" i="13"/>
  <c r="B75" i="13" s="1"/>
  <c r="H74" i="13"/>
  <c r="B74" i="13" s="1"/>
  <c r="H73" i="13"/>
  <c r="B73" i="13" s="1"/>
  <c r="H72" i="13"/>
  <c r="B72" i="13" s="1"/>
  <c r="H71" i="13"/>
  <c r="B71" i="13" s="1"/>
  <c r="H70" i="13"/>
  <c r="B70" i="13" s="1"/>
  <c r="H65" i="13"/>
  <c r="B65" i="13" s="1"/>
  <c r="H64" i="13"/>
  <c r="B64" i="13" s="1"/>
  <c r="H63" i="13"/>
  <c r="B63" i="13" s="1"/>
  <c r="H62" i="13"/>
  <c r="B62" i="13" s="1"/>
  <c r="H61" i="13"/>
  <c r="B61" i="13" s="1"/>
  <c r="H60" i="13"/>
  <c r="B60" i="13" s="1"/>
  <c r="H59" i="13"/>
  <c r="B59" i="13" s="1"/>
  <c r="H58" i="13"/>
  <c r="B58" i="13" s="1"/>
  <c r="H57" i="13"/>
  <c r="B57" i="13" s="1"/>
  <c r="H56" i="13"/>
  <c r="B56" i="13" s="1"/>
  <c r="H55" i="13"/>
  <c r="B55" i="13" s="1"/>
  <c r="H54" i="13"/>
  <c r="B54" i="13" s="1"/>
  <c r="H51" i="13"/>
  <c r="B51" i="13" s="1"/>
  <c r="H50" i="13"/>
  <c r="B50" i="13" s="1"/>
  <c r="H49" i="13"/>
  <c r="B49" i="13" s="1"/>
  <c r="H48" i="13"/>
  <c r="B48" i="13" s="1"/>
  <c r="H47" i="13"/>
  <c r="B47" i="13" s="1"/>
  <c r="H44" i="13"/>
  <c r="B44" i="13" s="1"/>
  <c r="H43" i="13"/>
  <c r="B43" i="13" s="1"/>
  <c r="H42" i="13"/>
  <c r="B42" i="13" s="1"/>
  <c r="H41" i="13"/>
  <c r="B41" i="13" s="1"/>
  <c r="H40" i="13"/>
  <c r="B40" i="13" s="1"/>
  <c r="H10" i="13"/>
  <c r="B10" i="13" s="1"/>
  <c r="H9" i="13"/>
  <c r="B9" i="13" s="1"/>
  <c r="H8" i="13"/>
  <c r="B8" i="13" s="1"/>
  <c r="H7" i="13"/>
  <c r="B7" i="13" s="1"/>
  <c r="H6" i="13"/>
  <c r="B6" i="13" s="1"/>
  <c r="H5" i="13"/>
  <c r="B5" i="13" s="1"/>
  <c r="H4" i="13"/>
  <c r="B4" i="13" s="1"/>
  <c r="H3" i="13"/>
  <c r="B3" i="13" s="1"/>
  <c r="H2" i="13"/>
  <c r="B2" i="13" s="1"/>
  <c r="H24" i="12"/>
  <c r="B24" i="12" s="1"/>
  <c r="H25" i="12"/>
  <c r="B25" i="12" s="1"/>
  <c r="H26" i="12"/>
  <c r="B26" i="12" s="1"/>
  <c r="H27" i="12"/>
  <c r="B27" i="12" s="1"/>
  <c r="H28" i="12"/>
  <c r="B28" i="12" s="1"/>
  <c r="H29" i="12"/>
  <c r="B29" i="12" s="1"/>
  <c r="H30" i="12"/>
  <c r="B30" i="12" s="1"/>
  <c r="H31" i="12"/>
  <c r="B31" i="12" s="1"/>
  <c r="P340" i="4" l="1"/>
  <c r="P339" i="4"/>
  <c r="P309" i="4"/>
  <c r="P291" i="4"/>
  <c r="P286" i="4"/>
  <c r="P280" i="4"/>
  <c r="P226" i="4"/>
  <c r="P173" i="4"/>
  <c r="P172" i="4"/>
  <c r="P151" i="4"/>
  <c r="P149" i="4"/>
  <c r="P129" i="4"/>
  <c r="P128" i="4"/>
  <c r="P110" i="4"/>
  <c r="P81" i="4"/>
  <c r="Q226" i="4"/>
  <c r="Q340" i="4"/>
  <c r="Q286" i="4"/>
  <c r="Q173" i="4"/>
  <c r="Q309" i="4"/>
  <c r="Q339" i="4"/>
  <c r="Q151" i="4"/>
  <c r="Q110" i="4"/>
  <c r="Q291" i="4"/>
  <c r="Q172" i="4"/>
  <c r="Q128" i="4"/>
  <c r="Q280" i="4"/>
  <c r="Q81" i="4"/>
  <c r="Q149" i="4"/>
  <c r="Q129" i="4"/>
  <c r="H182" i="12" l="1"/>
  <c r="B182" i="12" s="1"/>
  <c r="H181" i="12"/>
  <c r="B181" i="12" s="1"/>
  <c r="H180" i="12"/>
  <c r="B180" i="12" s="1"/>
  <c r="H179" i="12"/>
  <c r="B179" i="12" s="1"/>
  <c r="H178" i="12"/>
  <c r="B178" i="12" s="1"/>
  <c r="H177" i="12"/>
  <c r="B177" i="12" s="1"/>
  <c r="B218" i="12"/>
  <c r="B217" i="12"/>
  <c r="B216" i="12"/>
  <c r="B215" i="12"/>
  <c r="B214" i="12"/>
  <c r="B213" i="12"/>
  <c r="B212" i="12"/>
  <c r="B211" i="12"/>
  <c r="H210" i="12"/>
  <c r="B210" i="12" s="1"/>
  <c r="H207" i="12"/>
  <c r="B207" i="12" s="1"/>
  <c r="H206" i="12"/>
  <c r="B206" i="12" s="1"/>
  <c r="H205" i="12"/>
  <c r="B205" i="12" s="1"/>
  <c r="H204" i="12"/>
  <c r="B204" i="12" s="1"/>
  <c r="H203" i="12"/>
  <c r="B203" i="12" s="1"/>
  <c r="H202" i="12"/>
  <c r="B202" i="12" s="1"/>
  <c r="H201" i="12"/>
  <c r="B201" i="12" s="1"/>
  <c r="H200" i="12"/>
  <c r="B200" i="12" s="1"/>
  <c r="H199" i="12"/>
  <c r="B199" i="12" s="1"/>
  <c r="H198" i="12"/>
  <c r="B198" i="12" s="1"/>
  <c r="H197" i="12"/>
  <c r="B197" i="12" s="1"/>
  <c r="H196" i="12"/>
  <c r="B196" i="12" s="1"/>
  <c r="H195" i="12"/>
  <c r="B195" i="12" s="1"/>
  <c r="H192" i="12"/>
  <c r="B192" i="12" s="1"/>
  <c r="H191" i="12"/>
  <c r="B191" i="12" s="1"/>
  <c r="H190" i="12"/>
  <c r="B190" i="12" s="1"/>
  <c r="H189" i="12"/>
  <c r="B189" i="12" s="1"/>
  <c r="H188" i="12"/>
  <c r="B188" i="12" s="1"/>
  <c r="H187" i="12"/>
  <c r="B187" i="12" s="1"/>
  <c r="H186" i="12"/>
  <c r="B186" i="12" s="1"/>
  <c r="H185" i="12"/>
  <c r="B185" i="12" s="1"/>
  <c r="H176" i="12"/>
  <c r="B176" i="12" s="1"/>
  <c r="H175" i="12"/>
  <c r="B175" i="12" s="1"/>
  <c r="H174" i="12"/>
  <c r="B174" i="12" s="1"/>
  <c r="H173" i="12"/>
  <c r="B173" i="12" s="1"/>
  <c r="H170" i="12"/>
  <c r="B170" i="12" s="1"/>
  <c r="H169" i="12"/>
  <c r="B169" i="12" s="1"/>
  <c r="H168" i="12"/>
  <c r="B168" i="12" s="1"/>
  <c r="H165" i="12"/>
  <c r="B165" i="12" s="1"/>
  <c r="H164" i="12"/>
  <c r="B164" i="12" s="1"/>
  <c r="H163" i="12"/>
  <c r="B163" i="12" s="1"/>
  <c r="H162" i="12"/>
  <c r="B162" i="12" s="1"/>
  <c r="H161" i="12"/>
  <c r="B161" i="12" s="1"/>
  <c r="H160" i="12"/>
  <c r="B160" i="12" s="1"/>
  <c r="H159" i="12"/>
  <c r="B159" i="12" s="1"/>
  <c r="H158" i="12"/>
  <c r="B158" i="12" s="1"/>
  <c r="H157" i="12"/>
  <c r="B157" i="12" s="1"/>
  <c r="H156" i="12"/>
  <c r="B156" i="12" s="1"/>
  <c r="H155" i="12"/>
  <c r="B155" i="12" s="1"/>
  <c r="H154" i="12"/>
  <c r="B154" i="12" s="1"/>
  <c r="H153" i="12"/>
  <c r="B153" i="12" s="1"/>
  <c r="H152" i="12"/>
  <c r="B152" i="12" s="1"/>
  <c r="H151" i="12"/>
  <c r="B151" i="12" s="1"/>
  <c r="H150" i="12"/>
  <c r="B150" i="12" s="1"/>
  <c r="H149" i="12"/>
  <c r="B149" i="12" s="1"/>
  <c r="H148" i="12"/>
  <c r="B148" i="12" s="1"/>
  <c r="H147" i="12"/>
  <c r="B147" i="12" s="1"/>
  <c r="H146" i="12"/>
  <c r="B146" i="12" s="1"/>
  <c r="H145" i="12"/>
  <c r="B145" i="12" s="1"/>
  <c r="H144" i="12"/>
  <c r="B144" i="12" s="1"/>
  <c r="H141" i="12"/>
  <c r="B141" i="12" s="1"/>
  <c r="H140" i="12"/>
  <c r="B140" i="12" s="1"/>
  <c r="H139" i="12"/>
  <c r="B139" i="12" s="1"/>
  <c r="H138" i="12"/>
  <c r="B138" i="12" s="1"/>
  <c r="H137" i="12"/>
  <c r="B137" i="12" s="1"/>
  <c r="H136" i="12"/>
  <c r="B136" i="12" s="1"/>
  <c r="H135" i="12"/>
  <c r="B135" i="12" s="1"/>
  <c r="H134" i="12"/>
  <c r="B134" i="12" s="1"/>
  <c r="H133" i="12"/>
  <c r="B133" i="12" s="1"/>
  <c r="H130" i="12"/>
  <c r="B130" i="12" s="1"/>
  <c r="H129" i="12"/>
  <c r="B129" i="12" s="1"/>
  <c r="H128" i="12"/>
  <c r="B128" i="12" s="1"/>
  <c r="H127" i="12"/>
  <c r="B127" i="12" s="1"/>
  <c r="H126" i="12"/>
  <c r="B126" i="12" s="1"/>
  <c r="H125" i="12"/>
  <c r="B125" i="12" s="1"/>
  <c r="H124" i="12"/>
  <c r="B124" i="12" s="1"/>
  <c r="H123" i="12"/>
  <c r="B123" i="12" s="1"/>
  <c r="H122" i="12"/>
  <c r="B122" i="12" s="1"/>
  <c r="H121" i="12"/>
  <c r="B121" i="12" s="1"/>
  <c r="H120" i="12"/>
  <c r="B120" i="12" s="1"/>
  <c r="H119" i="12"/>
  <c r="B119" i="12" s="1"/>
  <c r="H118" i="12"/>
  <c r="B118" i="12" s="1"/>
  <c r="H115" i="12"/>
  <c r="B115" i="12" s="1"/>
  <c r="H114" i="12"/>
  <c r="B114" i="12" s="1"/>
  <c r="H113" i="12"/>
  <c r="B113" i="12" s="1"/>
  <c r="H112" i="12"/>
  <c r="B112" i="12" s="1"/>
  <c r="H111" i="12"/>
  <c r="B111" i="12" s="1"/>
  <c r="H110" i="12"/>
  <c r="B110" i="12" s="1"/>
  <c r="H109" i="12"/>
  <c r="B109" i="12" s="1"/>
  <c r="H108" i="12"/>
  <c r="B108" i="12" s="1"/>
  <c r="H107" i="12"/>
  <c r="B107" i="12" s="1"/>
  <c r="H106" i="12"/>
  <c r="B106" i="12" s="1"/>
  <c r="H105" i="12"/>
  <c r="B105" i="12" s="1"/>
  <c r="H104" i="12"/>
  <c r="B104" i="12" s="1"/>
  <c r="H101" i="12"/>
  <c r="B101" i="12" s="1"/>
  <c r="H100" i="12"/>
  <c r="B100" i="12" s="1"/>
  <c r="H99" i="12"/>
  <c r="B99" i="12" s="1"/>
  <c r="H98" i="12"/>
  <c r="B98" i="12" s="1"/>
  <c r="H97" i="12"/>
  <c r="B97" i="12" s="1"/>
  <c r="H96" i="12"/>
  <c r="B96" i="12" s="1"/>
  <c r="H95" i="12"/>
  <c r="B95" i="12" s="1"/>
  <c r="H94" i="12"/>
  <c r="B94" i="12" s="1"/>
  <c r="H93" i="12"/>
  <c r="B93" i="12" s="1"/>
  <c r="H90" i="12"/>
  <c r="B90" i="12" s="1"/>
  <c r="H89" i="12"/>
  <c r="B89" i="12" s="1"/>
  <c r="H88" i="12"/>
  <c r="B88" i="12" s="1"/>
  <c r="H87" i="12"/>
  <c r="B87" i="12" s="1"/>
  <c r="H86" i="12"/>
  <c r="B86" i="12" s="1"/>
  <c r="H85" i="12"/>
  <c r="B85" i="12" s="1"/>
  <c r="H84" i="12"/>
  <c r="B84" i="12" s="1"/>
  <c r="H83" i="12"/>
  <c r="B83" i="12" s="1"/>
  <c r="H45" i="12"/>
  <c r="B45" i="12" s="1"/>
  <c r="H44" i="12"/>
  <c r="B44" i="12" s="1"/>
  <c r="H43" i="12"/>
  <c r="B43" i="12" s="1"/>
  <c r="H42" i="12"/>
  <c r="B42" i="12" s="1"/>
  <c r="H41" i="12"/>
  <c r="B41" i="12" s="1"/>
  <c r="H40" i="12"/>
  <c r="B40" i="12" s="1"/>
  <c r="H39" i="12"/>
  <c r="B39" i="12" s="1"/>
  <c r="H38" i="12"/>
  <c r="B38" i="12" s="1"/>
  <c r="H35" i="12"/>
  <c r="B35" i="12" s="1"/>
  <c r="H37" i="12"/>
  <c r="B37" i="12" s="1"/>
  <c r="H36" i="12"/>
  <c r="B36" i="12" s="1"/>
  <c r="H34" i="12"/>
  <c r="B34" i="12" s="1"/>
  <c r="H23" i="12"/>
  <c r="B23" i="12" s="1"/>
  <c r="H22" i="12"/>
  <c r="B22" i="12" s="1"/>
  <c r="H21" i="12"/>
  <c r="B21" i="12" s="1"/>
  <c r="H20" i="12"/>
  <c r="B20" i="12" s="1"/>
  <c r="H19" i="12"/>
  <c r="B19" i="12" s="1"/>
  <c r="H18" i="12"/>
  <c r="B18" i="12" s="1"/>
  <c r="H17" i="12"/>
  <c r="B17" i="12" s="1"/>
  <c r="H16" i="12"/>
  <c r="B16" i="12" s="1"/>
  <c r="H15" i="12"/>
  <c r="B15" i="12" s="1"/>
  <c r="H14" i="12"/>
  <c r="B14" i="12" s="1"/>
  <c r="H13" i="12"/>
  <c r="B13" i="12" s="1"/>
  <c r="H12" i="12"/>
  <c r="B12" i="12" s="1"/>
  <c r="H11" i="12"/>
  <c r="B11" i="12" s="1"/>
  <c r="H10" i="12"/>
  <c r="B10" i="12" s="1"/>
  <c r="H9" i="12"/>
  <c r="B9" i="12" s="1"/>
  <c r="H8" i="12"/>
  <c r="B8" i="12" s="1"/>
  <c r="H7" i="12"/>
  <c r="B7" i="12" s="1"/>
  <c r="H6" i="12"/>
  <c r="B6" i="12" s="1"/>
  <c r="H5" i="12"/>
  <c r="B5" i="12" s="1"/>
  <c r="H4" i="12"/>
  <c r="B4" i="12" s="1"/>
  <c r="H3" i="12"/>
  <c r="B3" i="12" s="1"/>
  <c r="H2" i="12"/>
  <c r="B2" i="12" s="1"/>
  <c r="P354" i="4"/>
  <c r="P337" i="4"/>
  <c r="P323" i="4"/>
  <c r="P290" i="4"/>
  <c r="P282" i="4"/>
  <c r="P273" i="4"/>
  <c r="P257" i="4"/>
  <c r="P171" i="4"/>
  <c r="P133" i="4"/>
  <c r="P125" i="4"/>
  <c r="P126" i="4"/>
  <c r="P101" i="4"/>
  <c r="P82" i="4"/>
  <c r="P79" i="4"/>
  <c r="P70" i="4"/>
  <c r="P68" i="4"/>
  <c r="P32" i="4"/>
  <c r="P28" i="4"/>
  <c r="Q32" i="4"/>
  <c r="Q126" i="4"/>
  <c r="Q70" i="4"/>
  <c r="Q354" i="4"/>
  <c r="Q79" i="4"/>
  <c r="Q68" i="4"/>
  <c r="Q28" i="4"/>
  <c r="Q101" i="4"/>
  <c r="Q82" i="4"/>
  <c r="Q337" i="4"/>
  <c r="Q257" i="4"/>
  <c r="Q125" i="4"/>
  <c r="Q323" i="4"/>
  <c r="Q290" i="4"/>
  <c r="Q282" i="4"/>
  <c r="Q273" i="4"/>
  <c r="Q171" i="4"/>
  <c r="Q133" i="4"/>
  <c r="H232" i="11" l="1"/>
  <c r="B232" i="11" s="1"/>
  <c r="H231" i="11"/>
  <c r="B231" i="11" s="1"/>
  <c r="H230" i="11"/>
  <c r="B230" i="11" s="1"/>
  <c r="H229" i="11"/>
  <c r="B229" i="11" s="1"/>
  <c r="H228" i="11"/>
  <c r="B228" i="11" s="1"/>
  <c r="H227" i="11"/>
  <c r="B227" i="11" s="1"/>
  <c r="H226" i="11"/>
  <c r="B226" i="11" s="1"/>
  <c r="H225" i="11"/>
  <c r="B225" i="11" s="1"/>
  <c r="H224" i="11"/>
  <c r="B224" i="11" s="1"/>
  <c r="H221" i="11"/>
  <c r="B221" i="11" s="1"/>
  <c r="H220" i="11"/>
  <c r="B220" i="11" s="1"/>
  <c r="H219" i="11"/>
  <c r="B219" i="11" s="1"/>
  <c r="H218" i="11"/>
  <c r="B218" i="11" s="1"/>
  <c r="H217" i="11"/>
  <c r="B217" i="11" s="1"/>
  <c r="H216" i="11"/>
  <c r="B216" i="11" s="1"/>
  <c r="H215" i="11"/>
  <c r="B215" i="11" s="1"/>
  <c r="H214" i="11"/>
  <c r="B214" i="11" s="1"/>
  <c r="H213" i="11"/>
  <c r="B213" i="11" s="1"/>
  <c r="H212" i="11"/>
  <c r="B212" i="11" s="1"/>
  <c r="H211" i="11"/>
  <c r="B211" i="11" s="1"/>
  <c r="H210" i="11"/>
  <c r="B210" i="11" s="1"/>
  <c r="H209" i="11"/>
  <c r="B209" i="11" s="1"/>
  <c r="H206" i="11"/>
  <c r="B206" i="11" s="1"/>
  <c r="H205" i="11"/>
  <c r="B205" i="11" s="1"/>
  <c r="H204" i="11"/>
  <c r="B204" i="11" s="1"/>
  <c r="H203" i="11"/>
  <c r="B203" i="11" s="1"/>
  <c r="H202" i="11"/>
  <c r="B202" i="11" s="1"/>
  <c r="H201" i="11"/>
  <c r="B201" i="11" s="1"/>
  <c r="H200" i="11"/>
  <c r="B200" i="11" s="1"/>
  <c r="H199" i="11"/>
  <c r="B199" i="11" s="1"/>
  <c r="H196" i="11"/>
  <c r="B196" i="11" s="1"/>
  <c r="H195" i="11"/>
  <c r="B195" i="11" s="1"/>
  <c r="H194" i="11"/>
  <c r="B194" i="11" s="1"/>
  <c r="H193" i="11"/>
  <c r="B193" i="11" s="1"/>
  <c r="H192" i="11"/>
  <c r="B192" i="11" s="1"/>
  <c r="H191" i="11"/>
  <c r="B191" i="11" s="1"/>
  <c r="H190" i="11"/>
  <c r="B190" i="11" s="1"/>
  <c r="H189" i="11"/>
  <c r="B189" i="11" s="1"/>
  <c r="H188" i="11"/>
  <c r="B188" i="11" s="1"/>
  <c r="H187" i="11"/>
  <c r="B187" i="11" s="1"/>
  <c r="H186" i="11"/>
  <c r="B186" i="11" s="1"/>
  <c r="H185" i="11"/>
  <c r="B185" i="11" s="1"/>
  <c r="H184" i="11"/>
  <c r="B184" i="11" s="1"/>
  <c r="H183" i="11"/>
  <c r="B183" i="11" s="1"/>
  <c r="H182" i="11"/>
  <c r="B182" i="11" s="1"/>
  <c r="H181" i="11"/>
  <c r="B181" i="11" s="1"/>
  <c r="H180" i="11"/>
  <c r="B180" i="11" s="1"/>
  <c r="H179" i="11"/>
  <c r="B179" i="11" s="1"/>
  <c r="H178" i="11"/>
  <c r="B178" i="11" s="1"/>
  <c r="H177" i="11"/>
  <c r="B177" i="11" s="1"/>
  <c r="H176" i="11"/>
  <c r="B176" i="11" s="1"/>
  <c r="H175" i="11"/>
  <c r="B175" i="11" s="1"/>
  <c r="H172" i="11"/>
  <c r="B172" i="11" s="1"/>
  <c r="H171" i="11"/>
  <c r="B171" i="11" s="1"/>
  <c r="H170" i="11"/>
  <c r="B170" i="11" s="1"/>
  <c r="H169" i="11"/>
  <c r="B169" i="11" s="1"/>
  <c r="H168" i="11"/>
  <c r="B168" i="11" s="1"/>
  <c r="H167" i="11"/>
  <c r="B167" i="11" s="1"/>
  <c r="H166" i="11"/>
  <c r="B166" i="11" s="1"/>
  <c r="H165" i="11"/>
  <c r="B165" i="11" s="1"/>
  <c r="H164" i="11"/>
  <c r="B164" i="11" s="1"/>
  <c r="H163" i="11"/>
  <c r="B163" i="11" s="1"/>
  <c r="H162" i="11"/>
  <c r="B162" i="11" s="1"/>
  <c r="H159" i="11"/>
  <c r="B159" i="11" s="1"/>
  <c r="H158" i="11"/>
  <c r="B158" i="11" s="1"/>
  <c r="H157" i="11"/>
  <c r="B157" i="11" s="1"/>
  <c r="H156" i="11"/>
  <c r="B156" i="11" s="1"/>
  <c r="H155" i="11"/>
  <c r="B155" i="11" s="1"/>
  <c r="H154" i="11"/>
  <c r="B154" i="11" s="1"/>
  <c r="H153" i="11"/>
  <c r="B153" i="11" s="1"/>
  <c r="H152" i="11"/>
  <c r="B152" i="11" s="1"/>
  <c r="H151" i="11"/>
  <c r="B151" i="11" s="1"/>
  <c r="H150" i="11"/>
  <c r="B150" i="11" s="1"/>
  <c r="H149" i="11"/>
  <c r="B149" i="11" s="1"/>
  <c r="H148" i="11"/>
  <c r="B148" i="11" s="1"/>
  <c r="H147" i="11"/>
  <c r="B147" i="11" s="1"/>
  <c r="H146" i="11"/>
  <c r="B146" i="11" s="1"/>
  <c r="H145" i="11"/>
  <c r="B145" i="11" s="1"/>
  <c r="H144" i="11"/>
  <c r="B144" i="11" s="1"/>
  <c r="H143" i="11"/>
  <c r="B143" i="11" s="1"/>
  <c r="H142" i="11"/>
  <c r="B142" i="11" s="1"/>
  <c r="H141" i="11"/>
  <c r="B141" i="11" s="1"/>
  <c r="H140" i="11"/>
  <c r="B140" i="11" s="1"/>
  <c r="H139" i="11"/>
  <c r="B139" i="11" s="1"/>
  <c r="H138" i="11"/>
  <c r="B138" i="11" s="1"/>
  <c r="H135" i="11"/>
  <c r="B135" i="11" s="1"/>
  <c r="H134" i="11"/>
  <c r="B134" i="11" s="1"/>
  <c r="H133" i="11"/>
  <c r="B133" i="11" s="1"/>
  <c r="H132" i="11"/>
  <c r="B132" i="11" s="1"/>
  <c r="H131" i="11"/>
  <c r="B131" i="11" s="1"/>
  <c r="H130" i="11"/>
  <c r="B130" i="11" s="1"/>
  <c r="H129" i="11"/>
  <c r="B129" i="11" s="1"/>
  <c r="H128" i="11"/>
  <c r="B128" i="11" s="1"/>
  <c r="H127" i="11"/>
  <c r="B127" i="11" s="1"/>
  <c r="H124" i="11"/>
  <c r="B124" i="11" s="1"/>
  <c r="H123" i="11"/>
  <c r="B123" i="11" s="1"/>
  <c r="H122" i="11"/>
  <c r="B122" i="11" s="1"/>
  <c r="H121" i="11"/>
  <c r="B121" i="11" s="1"/>
  <c r="H120" i="11"/>
  <c r="B120" i="11" s="1"/>
  <c r="H119" i="11"/>
  <c r="B119" i="11" s="1"/>
  <c r="H118" i="11"/>
  <c r="B118" i="11" s="1"/>
  <c r="H117" i="11"/>
  <c r="B117" i="11" s="1"/>
  <c r="H116" i="11"/>
  <c r="B116" i="11" s="1"/>
  <c r="H115" i="11"/>
  <c r="B115" i="11" s="1"/>
  <c r="H114" i="11"/>
  <c r="B114" i="11" s="1"/>
  <c r="H113" i="11"/>
  <c r="B113" i="11" s="1"/>
  <c r="H112" i="11"/>
  <c r="B112" i="11" s="1"/>
  <c r="H109" i="11"/>
  <c r="B109" i="11" s="1"/>
  <c r="H108" i="11"/>
  <c r="B108" i="11" s="1"/>
  <c r="H107" i="11"/>
  <c r="B107" i="11" s="1"/>
  <c r="H106" i="11"/>
  <c r="B106" i="11" s="1"/>
  <c r="H105" i="11"/>
  <c r="B105" i="11" s="1"/>
  <c r="H104" i="11"/>
  <c r="B104" i="11" s="1"/>
  <c r="H103" i="11"/>
  <c r="B103" i="11" s="1"/>
  <c r="H102" i="11"/>
  <c r="B102" i="11" s="1"/>
  <c r="H101" i="11"/>
  <c r="B101" i="11" s="1"/>
  <c r="H100" i="11"/>
  <c r="B100" i="11" s="1"/>
  <c r="H99" i="11"/>
  <c r="B99" i="11" s="1"/>
  <c r="H98" i="11"/>
  <c r="B98" i="11" s="1"/>
  <c r="H97" i="11"/>
  <c r="B97" i="11" s="1"/>
  <c r="H94" i="11"/>
  <c r="B94" i="11" s="1"/>
  <c r="H93" i="11"/>
  <c r="B93" i="11" s="1"/>
  <c r="H92" i="11"/>
  <c r="B92" i="11" s="1"/>
  <c r="H91" i="11"/>
  <c r="B91" i="11" s="1"/>
  <c r="H90" i="11"/>
  <c r="B90" i="11" s="1"/>
  <c r="H89" i="11"/>
  <c r="B89" i="11" s="1"/>
  <c r="H88" i="11"/>
  <c r="B88" i="11" s="1"/>
  <c r="H87" i="11"/>
  <c r="B87" i="11" s="1"/>
  <c r="H86" i="11"/>
  <c r="B86" i="11" s="1"/>
  <c r="H85" i="11"/>
  <c r="B85" i="11" s="1"/>
  <c r="H82" i="11"/>
  <c r="B82" i="11" s="1"/>
  <c r="H81" i="11"/>
  <c r="B81" i="11" s="1"/>
  <c r="H80" i="11"/>
  <c r="B80" i="11" s="1"/>
  <c r="H79" i="11"/>
  <c r="B79" i="11" s="1"/>
  <c r="H78" i="11"/>
  <c r="B78" i="11" s="1"/>
  <c r="H77" i="11"/>
  <c r="B77" i="11" s="1"/>
  <c r="H76" i="11"/>
  <c r="B76" i="11" s="1"/>
  <c r="H75" i="11"/>
  <c r="B75" i="11" s="1"/>
  <c r="H37" i="11"/>
  <c r="B37" i="11" s="1"/>
  <c r="H36" i="11"/>
  <c r="B36" i="11" s="1"/>
  <c r="H35" i="11"/>
  <c r="B35" i="11" s="1"/>
  <c r="H34" i="11"/>
  <c r="B34" i="11" s="1"/>
  <c r="H33" i="11"/>
  <c r="B33" i="11" s="1"/>
  <c r="H32" i="11"/>
  <c r="B32" i="11" s="1"/>
  <c r="H31" i="11"/>
  <c r="B31" i="11" s="1"/>
  <c r="H30" i="11"/>
  <c r="B30" i="11" s="1"/>
  <c r="H29" i="11"/>
  <c r="B29" i="11" s="1"/>
  <c r="H28" i="11"/>
  <c r="B28" i="11" s="1"/>
  <c r="H27" i="11"/>
  <c r="B27" i="11" s="1"/>
  <c r="H26" i="11"/>
  <c r="B26" i="11" s="1"/>
  <c r="H23" i="11"/>
  <c r="B23" i="11" s="1"/>
  <c r="H22" i="11"/>
  <c r="B22" i="11" s="1"/>
  <c r="H21" i="11"/>
  <c r="B21" i="11" s="1"/>
  <c r="H20" i="11"/>
  <c r="B20" i="11" s="1"/>
  <c r="H19" i="11"/>
  <c r="B19" i="11" s="1"/>
  <c r="H18" i="11"/>
  <c r="B18" i="11" s="1"/>
  <c r="H17" i="11"/>
  <c r="B17" i="11" s="1"/>
  <c r="H16" i="11"/>
  <c r="B16" i="11" s="1"/>
  <c r="H15" i="11"/>
  <c r="B15" i="11" s="1"/>
  <c r="H14" i="11"/>
  <c r="B14" i="11" s="1"/>
  <c r="H13" i="11"/>
  <c r="B13" i="11" s="1"/>
  <c r="H12" i="11"/>
  <c r="B12" i="11" s="1"/>
  <c r="H11" i="11"/>
  <c r="B11" i="11" s="1"/>
  <c r="H10" i="11"/>
  <c r="B10" i="11" s="1"/>
  <c r="H9" i="11"/>
  <c r="B9" i="11" s="1"/>
  <c r="H8" i="11"/>
  <c r="B8" i="11" s="1"/>
  <c r="H7" i="11"/>
  <c r="B7" i="11" s="1"/>
  <c r="H6" i="11"/>
  <c r="B6" i="11" s="1"/>
  <c r="H5" i="11"/>
  <c r="B5" i="11" s="1"/>
  <c r="H4" i="11"/>
  <c r="B4" i="11" s="1"/>
  <c r="H3" i="11"/>
  <c r="B3" i="11" s="1"/>
  <c r="H2" i="11"/>
  <c r="B2" i="11" s="1"/>
  <c r="P270" i="4" l="1"/>
  <c r="P204" i="4"/>
  <c r="P194" i="4"/>
  <c r="P147" i="4"/>
  <c r="P131" i="4"/>
  <c r="P127" i="4"/>
  <c r="P67" i="4"/>
  <c r="P22" i="4"/>
  <c r="Q67" i="4"/>
  <c r="Q204" i="4"/>
  <c r="Q127" i="4"/>
  <c r="Q147" i="4"/>
  <c r="Q270" i="4"/>
  <c r="Q194" i="4"/>
  <c r="Q22" i="4"/>
  <c r="Q131" i="4"/>
  <c r="H226" i="10" l="1"/>
  <c r="B226" i="10" s="1"/>
  <c r="H225" i="10"/>
  <c r="B225" i="10" s="1"/>
  <c r="H224" i="10"/>
  <c r="B224" i="10" s="1"/>
  <c r="H223" i="10"/>
  <c r="B223" i="10" s="1"/>
  <c r="H222" i="10"/>
  <c r="B222" i="10" s="1"/>
  <c r="H221" i="10"/>
  <c r="B221" i="10" s="1"/>
  <c r="H220" i="10"/>
  <c r="B220" i="10" s="1"/>
  <c r="H219" i="10"/>
  <c r="B219" i="10" s="1"/>
  <c r="H218" i="10"/>
  <c r="B218" i="10" s="1"/>
  <c r="H215" i="10"/>
  <c r="B215" i="10" s="1"/>
  <c r="H214" i="10"/>
  <c r="B214" i="10" s="1"/>
  <c r="H213" i="10"/>
  <c r="B213" i="10" s="1"/>
  <c r="H212" i="10"/>
  <c r="B212" i="10" s="1"/>
  <c r="H211" i="10"/>
  <c r="B211" i="10" s="1"/>
  <c r="H210" i="10"/>
  <c r="B210" i="10" s="1"/>
  <c r="H209" i="10"/>
  <c r="B209" i="10" s="1"/>
  <c r="H208" i="10"/>
  <c r="B208" i="10" s="1"/>
  <c r="H207" i="10"/>
  <c r="B207" i="10" s="1"/>
  <c r="H206" i="10"/>
  <c r="B206" i="10" s="1"/>
  <c r="H205" i="10"/>
  <c r="B205" i="10" s="1"/>
  <c r="H204" i="10"/>
  <c r="B204" i="10" s="1"/>
  <c r="H203" i="10"/>
  <c r="B203" i="10" s="1"/>
  <c r="H200" i="10"/>
  <c r="B200" i="10" s="1"/>
  <c r="H199" i="10"/>
  <c r="B199" i="10" s="1"/>
  <c r="H198" i="10"/>
  <c r="B198" i="10" s="1"/>
  <c r="H197" i="10"/>
  <c r="B197" i="10" s="1"/>
  <c r="H196" i="10"/>
  <c r="B196" i="10" s="1"/>
  <c r="H195" i="10"/>
  <c r="B195" i="10" s="1"/>
  <c r="H194" i="10"/>
  <c r="B194" i="10" s="1"/>
  <c r="H193" i="10"/>
  <c r="B193" i="10" s="1"/>
  <c r="H190" i="10"/>
  <c r="B190" i="10" s="1"/>
  <c r="H189" i="10"/>
  <c r="B189" i="10" s="1"/>
  <c r="H188" i="10"/>
  <c r="B188" i="10" s="1"/>
  <c r="H187" i="10"/>
  <c r="B187" i="10" s="1"/>
  <c r="H186" i="10"/>
  <c r="B186" i="10" s="1"/>
  <c r="H185" i="10"/>
  <c r="B185" i="10" s="1"/>
  <c r="H184" i="10"/>
  <c r="B184" i="10" s="1"/>
  <c r="H183" i="10"/>
  <c r="B183" i="10" s="1"/>
  <c r="H182" i="10"/>
  <c r="B182" i="10" s="1"/>
  <c r="H181" i="10"/>
  <c r="B181" i="10" s="1"/>
  <c r="H180" i="10"/>
  <c r="B180" i="10" s="1"/>
  <c r="H179" i="10"/>
  <c r="B179" i="10" s="1"/>
  <c r="H178" i="10"/>
  <c r="B178" i="10" s="1"/>
  <c r="H177" i="10"/>
  <c r="B177" i="10" s="1"/>
  <c r="H176" i="10"/>
  <c r="B176" i="10" s="1"/>
  <c r="H175" i="10"/>
  <c r="B175" i="10" s="1"/>
  <c r="H174" i="10"/>
  <c r="B174" i="10" s="1"/>
  <c r="H173" i="10"/>
  <c r="B173" i="10" s="1"/>
  <c r="H172" i="10"/>
  <c r="B172" i="10" s="1"/>
  <c r="H171" i="10"/>
  <c r="B171" i="10" s="1"/>
  <c r="H170" i="10"/>
  <c r="B170" i="10" s="1"/>
  <c r="H169" i="10"/>
  <c r="B169" i="10" s="1"/>
  <c r="H166" i="10"/>
  <c r="B166" i="10" s="1"/>
  <c r="H165" i="10"/>
  <c r="B165" i="10" s="1"/>
  <c r="H164" i="10"/>
  <c r="B164" i="10" s="1"/>
  <c r="H163" i="10"/>
  <c r="B163" i="10" s="1"/>
  <c r="H162" i="10"/>
  <c r="B162" i="10" s="1"/>
  <c r="H161" i="10"/>
  <c r="B161" i="10" s="1"/>
  <c r="H160" i="10"/>
  <c r="B160" i="10" s="1"/>
  <c r="H159" i="10"/>
  <c r="B159" i="10" s="1"/>
  <c r="H158" i="10"/>
  <c r="B158" i="10" s="1"/>
  <c r="H157" i="10"/>
  <c r="B157" i="10" s="1"/>
  <c r="H156" i="10"/>
  <c r="B156" i="10" s="1"/>
  <c r="H153" i="10"/>
  <c r="B153" i="10" s="1"/>
  <c r="H152" i="10"/>
  <c r="B152" i="10" s="1"/>
  <c r="H151" i="10"/>
  <c r="B151" i="10" s="1"/>
  <c r="H150" i="10"/>
  <c r="B150" i="10" s="1"/>
  <c r="H149" i="10"/>
  <c r="B149" i="10" s="1"/>
  <c r="H148" i="10"/>
  <c r="B148" i="10" s="1"/>
  <c r="H147" i="10"/>
  <c r="B147" i="10" s="1"/>
  <c r="H146" i="10"/>
  <c r="B146" i="10" s="1"/>
  <c r="H145" i="10"/>
  <c r="B145" i="10" s="1"/>
  <c r="H144" i="10"/>
  <c r="B144" i="10" s="1"/>
  <c r="H143" i="10"/>
  <c r="B143" i="10" s="1"/>
  <c r="H142" i="10"/>
  <c r="B142" i="10" s="1"/>
  <c r="H141" i="10"/>
  <c r="B141" i="10" s="1"/>
  <c r="H140" i="10"/>
  <c r="B140" i="10" s="1"/>
  <c r="H139" i="10"/>
  <c r="B139" i="10" s="1"/>
  <c r="H138" i="10"/>
  <c r="B138" i="10" s="1"/>
  <c r="H137" i="10"/>
  <c r="B137" i="10" s="1"/>
  <c r="H136" i="10"/>
  <c r="B136" i="10" s="1"/>
  <c r="H135" i="10"/>
  <c r="B135" i="10" s="1"/>
  <c r="H134" i="10"/>
  <c r="B134" i="10" s="1"/>
  <c r="H133" i="10"/>
  <c r="B133" i="10" s="1"/>
  <c r="H132" i="10"/>
  <c r="B132" i="10" s="1"/>
  <c r="H129" i="10"/>
  <c r="B129" i="10" s="1"/>
  <c r="H128" i="10"/>
  <c r="B128" i="10" s="1"/>
  <c r="H127" i="10"/>
  <c r="B127" i="10" s="1"/>
  <c r="H126" i="10"/>
  <c r="B126" i="10" s="1"/>
  <c r="H125" i="10"/>
  <c r="B125" i="10" s="1"/>
  <c r="H124" i="10"/>
  <c r="B124" i="10" s="1"/>
  <c r="H123" i="10"/>
  <c r="B123" i="10" s="1"/>
  <c r="H122" i="10"/>
  <c r="B122" i="10" s="1"/>
  <c r="H121" i="10"/>
  <c r="B121" i="10" s="1"/>
  <c r="H118" i="10"/>
  <c r="B118" i="10" s="1"/>
  <c r="H117" i="10"/>
  <c r="B117" i="10" s="1"/>
  <c r="H116" i="10"/>
  <c r="B116" i="10" s="1"/>
  <c r="H115" i="10"/>
  <c r="B115" i="10" s="1"/>
  <c r="H114" i="10"/>
  <c r="B114" i="10" s="1"/>
  <c r="H113" i="10"/>
  <c r="B113" i="10" s="1"/>
  <c r="H112" i="10"/>
  <c r="B112" i="10" s="1"/>
  <c r="H111" i="10"/>
  <c r="B111" i="10" s="1"/>
  <c r="H110" i="10"/>
  <c r="B110" i="10" s="1"/>
  <c r="H109" i="10"/>
  <c r="B109" i="10" s="1"/>
  <c r="H108" i="10"/>
  <c r="B108" i="10" s="1"/>
  <c r="H107" i="10"/>
  <c r="B107" i="10" s="1"/>
  <c r="H106" i="10"/>
  <c r="B106" i="10" s="1"/>
  <c r="H103" i="10"/>
  <c r="B103" i="10" s="1"/>
  <c r="H102" i="10"/>
  <c r="B102" i="10" s="1"/>
  <c r="H101" i="10"/>
  <c r="B101" i="10" s="1"/>
  <c r="H100" i="10"/>
  <c r="B100" i="10" s="1"/>
  <c r="H99" i="10"/>
  <c r="B99" i="10" s="1"/>
  <c r="H98" i="10"/>
  <c r="B98" i="10" s="1"/>
  <c r="H97" i="10"/>
  <c r="B97" i="10" s="1"/>
  <c r="H96" i="10"/>
  <c r="B96" i="10" s="1"/>
  <c r="H95" i="10"/>
  <c r="B95" i="10" s="1"/>
  <c r="H94" i="10"/>
  <c r="B94" i="10" s="1"/>
  <c r="H93" i="10"/>
  <c r="B93" i="10" s="1"/>
  <c r="H92" i="10"/>
  <c r="B92" i="10" s="1"/>
  <c r="H91" i="10"/>
  <c r="B91" i="10" s="1"/>
  <c r="H88" i="10"/>
  <c r="B88" i="10" s="1"/>
  <c r="H87" i="10"/>
  <c r="B87" i="10" s="1"/>
  <c r="H86" i="10"/>
  <c r="B86" i="10" s="1"/>
  <c r="H85" i="10"/>
  <c r="B85" i="10" s="1"/>
  <c r="H84" i="10"/>
  <c r="B84" i="10" s="1"/>
  <c r="H83" i="10"/>
  <c r="B83" i="10" s="1"/>
  <c r="H82" i="10"/>
  <c r="B82" i="10" s="1"/>
  <c r="H81" i="10"/>
  <c r="B81" i="10" s="1"/>
  <c r="H80" i="10"/>
  <c r="B80" i="10" s="1"/>
  <c r="H79" i="10"/>
  <c r="B79" i="10" s="1"/>
  <c r="H76" i="10"/>
  <c r="B76" i="10" s="1"/>
  <c r="H75" i="10"/>
  <c r="B75" i="10" s="1"/>
  <c r="H74" i="10"/>
  <c r="B74" i="10" s="1"/>
  <c r="H73" i="10"/>
  <c r="B73" i="10" s="1"/>
  <c r="H72" i="10"/>
  <c r="B72" i="10" s="1"/>
  <c r="H71" i="10"/>
  <c r="B71" i="10" s="1"/>
  <c r="H70" i="10"/>
  <c r="B70" i="10" s="1"/>
  <c r="H69" i="10"/>
  <c r="B69" i="10" s="1"/>
  <c r="H37" i="10"/>
  <c r="B37" i="10" s="1"/>
  <c r="H36" i="10"/>
  <c r="B36" i="10" s="1"/>
  <c r="H35" i="10"/>
  <c r="B35" i="10" s="1"/>
  <c r="H34" i="10"/>
  <c r="B34" i="10" s="1"/>
  <c r="H33" i="10"/>
  <c r="B33" i="10" s="1"/>
  <c r="H32" i="10"/>
  <c r="B32" i="10" s="1"/>
  <c r="H31" i="10"/>
  <c r="B31" i="10" s="1"/>
  <c r="H30" i="10"/>
  <c r="B30" i="10" s="1"/>
  <c r="H29" i="10"/>
  <c r="B29" i="10" s="1"/>
  <c r="H28" i="10"/>
  <c r="B28" i="10" s="1"/>
  <c r="H27" i="10"/>
  <c r="B27" i="10" s="1"/>
  <c r="H26" i="10"/>
  <c r="B26" i="10" s="1"/>
  <c r="H23" i="10"/>
  <c r="B23" i="10" s="1"/>
  <c r="H22" i="10"/>
  <c r="B22" i="10" s="1"/>
  <c r="H21" i="10"/>
  <c r="B21" i="10" s="1"/>
  <c r="H20" i="10"/>
  <c r="B20" i="10" s="1"/>
  <c r="H19" i="10"/>
  <c r="B19" i="10" s="1"/>
  <c r="H18" i="10"/>
  <c r="B18" i="10" s="1"/>
  <c r="H17" i="10"/>
  <c r="B17" i="10" s="1"/>
  <c r="H16" i="10"/>
  <c r="B16" i="10" s="1"/>
  <c r="H15" i="10"/>
  <c r="B15" i="10" s="1"/>
  <c r="H14" i="10"/>
  <c r="B14" i="10" s="1"/>
  <c r="H13" i="10"/>
  <c r="B13" i="10" s="1"/>
  <c r="H12" i="10"/>
  <c r="B12" i="10" s="1"/>
  <c r="H11" i="10"/>
  <c r="B11" i="10" s="1"/>
  <c r="H10" i="10"/>
  <c r="B10" i="10" s="1"/>
  <c r="H9" i="10"/>
  <c r="B9" i="10" s="1"/>
  <c r="H8" i="10"/>
  <c r="B8" i="10" s="1"/>
  <c r="H7" i="10"/>
  <c r="B7" i="10" s="1"/>
  <c r="H6" i="10"/>
  <c r="B6" i="10" s="1"/>
  <c r="H5" i="10"/>
  <c r="B5" i="10" s="1"/>
  <c r="H4" i="10"/>
  <c r="B4" i="10" s="1"/>
  <c r="H3" i="10"/>
  <c r="B3" i="10" s="1"/>
  <c r="H2" i="10"/>
  <c r="B2" i="10" s="1"/>
  <c r="P346" i="4" l="1"/>
  <c r="P352" i="4"/>
  <c r="P336" i="4"/>
  <c r="P332" i="4"/>
  <c r="P330" i="4"/>
  <c r="P322" i="4"/>
  <c r="P312" i="4"/>
  <c r="P297" i="4"/>
  <c r="P289" i="4"/>
  <c r="P269" i="4"/>
  <c r="P279" i="4"/>
  <c r="P239" i="4"/>
  <c r="P233" i="4"/>
  <c r="P161" i="4"/>
  <c r="P143" i="4"/>
  <c r="P148" i="4"/>
  <c r="P134" i="4"/>
  <c r="P87" i="4"/>
  <c r="P69" i="4"/>
  <c r="P64" i="4"/>
  <c r="P49" i="4"/>
  <c r="P20" i="4"/>
  <c r="P17" i="4"/>
  <c r="Q352" i="4"/>
  <c r="Q297" i="4"/>
  <c r="Q20" i="4"/>
  <c r="Q49" i="4"/>
  <c r="Q17" i="4"/>
  <c r="Q312" i="4"/>
  <c r="Q322" i="4"/>
  <c r="Q161" i="4"/>
  <c r="Q332" i="4"/>
  <c r="Q269" i="4"/>
  <c r="Q346" i="4"/>
  <c r="Q336" i="4"/>
  <c r="Q279" i="4"/>
  <c r="Q330" i="4"/>
  <c r="Q239" i="4"/>
  <c r="Q143" i="4"/>
  <c r="Q87" i="4"/>
  <c r="Q289" i="4"/>
  <c r="Q233" i="4"/>
  <c r="Q69" i="4"/>
  <c r="Q148" i="4"/>
  <c r="Q64" i="4"/>
  <c r="Q134" i="4"/>
  <c r="H225" i="9" l="1"/>
  <c r="B225" i="9" s="1"/>
  <c r="H199" i="9"/>
  <c r="B199" i="9" s="1"/>
  <c r="H198" i="9"/>
  <c r="B198" i="9" s="1"/>
  <c r="H197" i="9"/>
  <c r="B197" i="9" s="1"/>
  <c r="H128" i="9"/>
  <c r="B128" i="9" s="1"/>
  <c r="H127" i="9"/>
  <c r="B127" i="9" s="1"/>
  <c r="H224" i="9"/>
  <c r="B224" i="9" s="1"/>
  <c r="H223" i="9"/>
  <c r="B223" i="9" s="1"/>
  <c r="H222" i="9"/>
  <c r="B222" i="9" s="1"/>
  <c r="H221" i="9"/>
  <c r="B221" i="9" s="1"/>
  <c r="H220" i="9"/>
  <c r="B220" i="9" s="1"/>
  <c r="H219" i="9"/>
  <c r="B219" i="9" s="1"/>
  <c r="H218" i="9"/>
  <c r="B218" i="9" s="1"/>
  <c r="H217" i="9"/>
  <c r="B217" i="9" s="1"/>
  <c r="H214" i="9"/>
  <c r="B214" i="9" s="1"/>
  <c r="H213" i="9"/>
  <c r="B213" i="9" s="1"/>
  <c r="H212" i="9"/>
  <c r="B212" i="9" s="1"/>
  <c r="H211" i="9"/>
  <c r="B211" i="9" s="1"/>
  <c r="H210" i="9"/>
  <c r="B210" i="9" s="1"/>
  <c r="H209" i="9"/>
  <c r="B209" i="9" s="1"/>
  <c r="H208" i="9"/>
  <c r="B208" i="9" s="1"/>
  <c r="H207" i="9"/>
  <c r="B207" i="9" s="1"/>
  <c r="H206" i="9"/>
  <c r="B206" i="9" s="1"/>
  <c r="H205" i="9"/>
  <c r="B205" i="9" s="1"/>
  <c r="H204" i="9"/>
  <c r="B204" i="9" s="1"/>
  <c r="H203" i="9"/>
  <c r="B203" i="9" s="1"/>
  <c r="H202" i="9"/>
  <c r="B202" i="9" s="1"/>
  <c r="H196" i="9"/>
  <c r="B196" i="9" s="1"/>
  <c r="H195" i="9"/>
  <c r="B195" i="9" s="1"/>
  <c r="H194" i="9"/>
  <c r="B194" i="9" s="1"/>
  <c r="H193" i="9"/>
  <c r="B193" i="9" s="1"/>
  <c r="H192" i="9"/>
  <c r="B192" i="9" s="1"/>
  <c r="H189" i="9"/>
  <c r="B189" i="9" s="1"/>
  <c r="H188" i="9"/>
  <c r="B188" i="9" s="1"/>
  <c r="H187" i="9"/>
  <c r="B187" i="9" s="1"/>
  <c r="H186" i="9"/>
  <c r="B186" i="9" s="1"/>
  <c r="H185" i="9"/>
  <c r="B185" i="9" s="1"/>
  <c r="H184" i="9"/>
  <c r="B184" i="9" s="1"/>
  <c r="H183" i="9"/>
  <c r="B183" i="9" s="1"/>
  <c r="H182" i="9"/>
  <c r="B182" i="9" s="1"/>
  <c r="H181" i="9"/>
  <c r="B181" i="9" s="1"/>
  <c r="H180" i="9"/>
  <c r="B180" i="9" s="1"/>
  <c r="H179" i="9"/>
  <c r="B179" i="9" s="1"/>
  <c r="H178" i="9"/>
  <c r="B178" i="9" s="1"/>
  <c r="H177" i="9"/>
  <c r="B177" i="9" s="1"/>
  <c r="H176" i="9"/>
  <c r="B176" i="9" s="1"/>
  <c r="H175" i="9"/>
  <c r="B175" i="9" s="1"/>
  <c r="H174" i="9"/>
  <c r="B174" i="9" s="1"/>
  <c r="H173" i="9"/>
  <c r="B173" i="9" s="1"/>
  <c r="H172" i="9"/>
  <c r="B172" i="9" s="1"/>
  <c r="H171" i="9"/>
  <c r="B171" i="9" s="1"/>
  <c r="H170" i="9"/>
  <c r="B170" i="9" s="1"/>
  <c r="H169" i="9"/>
  <c r="B169" i="9" s="1"/>
  <c r="H168" i="9"/>
  <c r="B168" i="9" s="1"/>
  <c r="H165" i="9"/>
  <c r="B165" i="9" s="1"/>
  <c r="H164" i="9"/>
  <c r="B164" i="9" s="1"/>
  <c r="H163" i="9"/>
  <c r="B163" i="9" s="1"/>
  <c r="H162" i="9"/>
  <c r="B162" i="9" s="1"/>
  <c r="H161" i="9"/>
  <c r="B161" i="9" s="1"/>
  <c r="H160" i="9"/>
  <c r="B160" i="9" s="1"/>
  <c r="H159" i="9"/>
  <c r="B159" i="9" s="1"/>
  <c r="H158" i="9"/>
  <c r="B158" i="9" s="1"/>
  <c r="H157" i="9"/>
  <c r="B157" i="9" s="1"/>
  <c r="H156" i="9"/>
  <c r="B156" i="9" s="1"/>
  <c r="H155" i="9"/>
  <c r="B155" i="9" s="1"/>
  <c r="H152" i="9"/>
  <c r="B152" i="9" s="1"/>
  <c r="H151" i="9"/>
  <c r="B151" i="9" s="1"/>
  <c r="H150" i="9"/>
  <c r="B150" i="9" s="1"/>
  <c r="H149" i="9"/>
  <c r="B149" i="9" s="1"/>
  <c r="H148" i="9"/>
  <c r="B148" i="9" s="1"/>
  <c r="H147" i="9"/>
  <c r="B147" i="9" s="1"/>
  <c r="H146" i="9"/>
  <c r="B146" i="9" s="1"/>
  <c r="H145" i="9"/>
  <c r="B145" i="9" s="1"/>
  <c r="H144" i="9"/>
  <c r="B144" i="9" s="1"/>
  <c r="H143" i="9"/>
  <c r="B143" i="9" s="1"/>
  <c r="H142" i="9"/>
  <c r="B142" i="9" s="1"/>
  <c r="H141" i="9"/>
  <c r="B141" i="9" s="1"/>
  <c r="H140" i="9"/>
  <c r="B140" i="9" s="1"/>
  <c r="H139" i="9"/>
  <c r="B139" i="9" s="1"/>
  <c r="H138" i="9"/>
  <c r="B138" i="9" s="1"/>
  <c r="H137" i="9"/>
  <c r="B137" i="9" s="1"/>
  <c r="H136" i="9"/>
  <c r="B136" i="9" s="1"/>
  <c r="H135" i="9"/>
  <c r="B135" i="9" s="1"/>
  <c r="H134" i="9"/>
  <c r="B134" i="9" s="1"/>
  <c r="H133" i="9"/>
  <c r="B133" i="9" s="1"/>
  <c r="H132" i="9"/>
  <c r="B132" i="9" s="1"/>
  <c r="H131" i="9"/>
  <c r="B131" i="9" s="1"/>
  <c r="H126" i="9"/>
  <c r="B126" i="9" s="1"/>
  <c r="H125" i="9"/>
  <c r="B125" i="9" s="1"/>
  <c r="H124" i="9"/>
  <c r="B124" i="9" s="1"/>
  <c r="H123" i="9"/>
  <c r="B123" i="9" s="1"/>
  <c r="H122" i="9"/>
  <c r="B122" i="9" s="1"/>
  <c r="H121" i="9"/>
  <c r="B121" i="9" s="1"/>
  <c r="H120" i="9"/>
  <c r="B120" i="9" s="1"/>
  <c r="H117" i="9"/>
  <c r="B117" i="9" s="1"/>
  <c r="H116" i="9"/>
  <c r="B116" i="9" s="1"/>
  <c r="H115" i="9"/>
  <c r="B115" i="9" s="1"/>
  <c r="H114" i="9"/>
  <c r="B114" i="9" s="1"/>
  <c r="H113" i="9"/>
  <c r="B113" i="9" s="1"/>
  <c r="H112" i="9"/>
  <c r="B112" i="9" s="1"/>
  <c r="H111" i="9"/>
  <c r="B111" i="9" s="1"/>
  <c r="H110" i="9"/>
  <c r="B110" i="9" s="1"/>
  <c r="H109" i="9"/>
  <c r="B109" i="9" s="1"/>
  <c r="H108" i="9"/>
  <c r="B108" i="9" s="1"/>
  <c r="H107" i="9"/>
  <c r="B107" i="9" s="1"/>
  <c r="H106" i="9"/>
  <c r="B106" i="9" s="1"/>
  <c r="H105" i="9"/>
  <c r="B105" i="9" s="1"/>
  <c r="H102" i="9"/>
  <c r="B102" i="9" s="1"/>
  <c r="H101" i="9"/>
  <c r="B101" i="9" s="1"/>
  <c r="H100" i="9"/>
  <c r="B100" i="9" s="1"/>
  <c r="H99" i="9"/>
  <c r="B99" i="9" s="1"/>
  <c r="H98" i="9"/>
  <c r="B98" i="9" s="1"/>
  <c r="H97" i="9"/>
  <c r="B97" i="9" s="1"/>
  <c r="H96" i="9"/>
  <c r="B96" i="9" s="1"/>
  <c r="H95" i="9"/>
  <c r="B95" i="9" s="1"/>
  <c r="H94" i="9"/>
  <c r="B94" i="9" s="1"/>
  <c r="H93" i="9"/>
  <c r="B93" i="9" s="1"/>
  <c r="H92" i="9"/>
  <c r="B92" i="9" s="1"/>
  <c r="H91" i="9"/>
  <c r="B91" i="9" s="1"/>
  <c r="H90" i="9"/>
  <c r="B90" i="9" s="1"/>
  <c r="H87" i="9"/>
  <c r="B87" i="9" s="1"/>
  <c r="H86" i="9"/>
  <c r="B86" i="9" s="1"/>
  <c r="H85" i="9"/>
  <c r="B85" i="9" s="1"/>
  <c r="H84" i="9"/>
  <c r="B84" i="9" s="1"/>
  <c r="H83" i="9"/>
  <c r="B83" i="9" s="1"/>
  <c r="H82" i="9"/>
  <c r="B82" i="9" s="1"/>
  <c r="H81" i="9"/>
  <c r="B81" i="9" s="1"/>
  <c r="H80" i="9"/>
  <c r="B80" i="9" s="1"/>
  <c r="H79" i="9"/>
  <c r="B79" i="9" s="1"/>
  <c r="H78" i="9"/>
  <c r="B78" i="9" s="1"/>
  <c r="H75" i="9"/>
  <c r="B75" i="9" s="1"/>
  <c r="H74" i="9"/>
  <c r="B74" i="9" s="1"/>
  <c r="H73" i="9"/>
  <c r="B73" i="9" s="1"/>
  <c r="H72" i="9"/>
  <c r="B72" i="9" s="1"/>
  <c r="H71" i="9"/>
  <c r="B71" i="9" s="1"/>
  <c r="H70" i="9"/>
  <c r="B70" i="9" s="1"/>
  <c r="H69" i="9"/>
  <c r="B69" i="9" s="1"/>
  <c r="H68" i="9"/>
  <c r="B68" i="9" s="1"/>
  <c r="H37" i="9"/>
  <c r="B37" i="9" s="1"/>
  <c r="H36" i="9"/>
  <c r="B36" i="9" s="1"/>
  <c r="H35" i="9"/>
  <c r="B35" i="9" s="1"/>
  <c r="H34" i="9"/>
  <c r="B34" i="9" s="1"/>
  <c r="H33" i="9"/>
  <c r="B33" i="9" s="1"/>
  <c r="H32" i="9"/>
  <c r="B32" i="9" s="1"/>
  <c r="H31" i="9"/>
  <c r="B31" i="9" s="1"/>
  <c r="H30" i="9"/>
  <c r="B30" i="9" s="1"/>
  <c r="H29" i="9"/>
  <c r="B29" i="9" s="1"/>
  <c r="H28" i="9"/>
  <c r="B28" i="9" s="1"/>
  <c r="H27" i="9"/>
  <c r="B27" i="9" s="1"/>
  <c r="H26" i="9"/>
  <c r="B26" i="9" s="1"/>
  <c r="H23" i="9"/>
  <c r="B23" i="9" s="1"/>
  <c r="H22" i="9"/>
  <c r="B22" i="9" s="1"/>
  <c r="H21" i="9"/>
  <c r="B21" i="9" s="1"/>
  <c r="H20" i="9"/>
  <c r="B20" i="9" s="1"/>
  <c r="H19" i="9"/>
  <c r="B19" i="9" s="1"/>
  <c r="H18" i="9"/>
  <c r="B18" i="9" s="1"/>
  <c r="H17" i="9"/>
  <c r="B17" i="9" s="1"/>
  <c r="H16" i="9"/>
  <c r="B16" i="9" s="1"/>
  <c r="H15" i="9"/>
  <c r="B15" i="9" s="1"/>
  <c r="H14" i="9"/>
  <c r="B14" i="9" s="1"/>
  <c r="H13" i="9"/>
  <c r="B13" i="9" s="1"/>
  <c r="H12" i="9"/>
  <c r="B12" i="9" s="1"/>
  <c r="H11" i="9"/>
  <c r="B11" i="9" s="1"/>
  <c r="H10" i="9"/>
  <c r="B10" i="9" s="1"/>
  <c r="H9" i="9"/>
  <c r="B9" i="9" s="1"/>
  <c r="H8" i="9"/>
  <c r="B8" i="9" s="1"/>
  <c r="H7" i="9"/>
  <c r="B7" i="9" s="1"/>
  <c r="H6" i="9"/>
  <c r="B6" i="9" s="1"/>
  <c r="H5" i="9"/>
  <c r="B5" i="9" s="1"/>
  <c r="H4" i="9"/>
  <c r="B4" i="9" s="1"/>
  <c r="H3" i="9"/>
  <c r="B3" i="9" s="1"/>
  <c r="H2" i="9"/>
  <c r="B2" i="9" s="1"/>
  <c r="P351" i="4" l="1"/>
  <c r="P329" i="4"/>
  <c r="P327" i="4"/>
  <c r="P307" i="4"/>
  <c r="P238" i="4"/>
  <c r="P235" i="4"/>
  <c r="P231" i="4"/>
  <c r="P228" i="4"/>
  <c r="P225" i="4"/>
  <c r="P195" i="4"/>
  <c r="P169" i="4"/>
  <c r="P150" i="4"/>
  <c r="Q235" i="4"/>
  <c r="Q238" i="4"/>
  <c r="Q307" i="4"/>
  <c r="Q329" i="4"/>
  <c r="Q228" i="4"/>
  <c r="Q231" i="4"/>
  <c r="Q351" i="4"/>
  <c r="Q327" i="4"/>
  <c r="Q225" i="4"/>
  <c r="Q195" i="4"/>
  <c r="Q169" i="4"/>
  <c r="Q150" i="4"/>
  <c r="H215" i="8" l="1"/>
  <c r="B215" i="8" s="1"/>
  <c r="H93" i="8"/>
  <c r="B93" i="8" s="1"/>
  <c r="H92" i="8"/>
  <c r="B92" i="8" s="1"/>
  <c r="H91" i="8"/>
  <c r="B91" i="8" s="1"/>
  <c r="H225" i="8"/>
  <c r="B225" i="8" s="1"/>
  <c r="H224" i="8"/>
  <c r="B224" i="8" s="1"/>
  <c r="H223" i="8"/>
  <c r="B223" i="8" s="1"/>
  <c r="H222" i="8"/>
  <c r="B222" i="8" s="1"/>
  <c r="H221" i="8"/>
  <c r="B221" i="8" s="1"/>
  <c r="H220" i="8"/>
  <c r="B220" i="8" s="1"/>
  <c r="H219" i="8"/>
  <c r="B219" i="8" s="1"/>
  <c r="H218" i="8"/>
  <c r="B218" i="8" s="1"/>
  <c r="H214" i="8"/>
  <c r="B214" i="8" s="1"/>
  <c r="H213" i="8"/>
  <c r="B213" i="8" s="1"/>
  <c r="H212" i="8"/>
  <c r="B212" i="8" s="1"/>
  <c r="H211" i="8"/>
  <c r="B211" i="8" s="1"/>
  <c r="H210" i="8"/>
  <c r="B210" i="8" s="1"/>
  <c r="H209" i="8"/>
  <c r="B209" i="8" s="1"/>
  <c r="H208" i="8"/>
  <c r="B208" i="8" s="1"/>
  <c r="H207" i="8"/>
  <c r="B207" i="8" s="1"/>
  <c r="H206" i="8"/>
  <c r="B206" i="8" s="1"/>
  <c r="H205" i="8"/>
  <c r="B205" i="8" s="1"/>
  <c r="H204" i="8"/>
  <c r="B204" i="8" s="1"/>
  <c r="H203" i="8"/>
  <c r="B203" i="8" s="1"/>
  <c r="H200" i="8"/>
  <c r="B200" i="8" s="1"/>
  <c r="H199" i="8"/>
  <c r="B199" i="8" s="1"/>
  <c r="H198" i="8"/>
  <c r="B198" i="8" s="1"/>
  <c r="H197" i="8"/>
  <c r="B197" i="8" s="1"/>
  <c r="H196" i="8"/>
  <c r="B196" i="8" s="1"/>
  <c r="H193" i="8"/>
  <c r="B193" i="8" s="1"/>
  <c r="H192" i="8"/>
  <c r="B192" i="8" s="1"/>
  <c r="H191" i="8"/>
  <c r="B191" i="8" s="1"/>
  <c r="H190" i="8"/>
  <c r="B190" i="8" s="1"/>
  <c r="H189" i="8"/>
  <c r="B189" i="8" s="1"/>
  <c r="H188" i="8"/>
  <c r="B188" i="8" s="1"/>
  <c r="H187" i="8"/>
  <c r="B187" i="8" s="1"/>
  <c r="H186" i="8"/>
  <c r="B186" i="8" s="1"/>
  <c r="H185" i="8"/>
  <c r="B185" i="8" s="1"/>
  <c r="H184" i="8"/>
  <c r="B184" i="8" s="1"/>
  <c r="H183" i="8"/>
  <c r="B183" i="8" s="1"/>
  <c r="H182" i="8"/>
  <c r="B182" i="8" s="1"/>
  <c r="H181" i="8"/>
  <c r="B181" i="8" s="1"/>
  <c r="H180" i="8"/>
  <c r="B180" i="8" s="1"/>
  <c r="H179" i="8"/>
  <c r="B179" i="8" s="1"/>
  <c r="H178" i="8"/>
  <c r="B178" i="8" s="1"/>
  <c r="H177" i="8"/>
  <c r="B177" i="8" s="1"/>
  <c r="H176" i="8"/>
  <c r="B176" i="8" s="1"/>
  <c r="H175" i="8"/>
  <c r="B175" i="8" s="1"/>
  <c r="H174" i="8"/>
  <c r="B174" i="8" s="1"/>
  <c r="H173" i="8"/>
  <c r="B173" i="8" s="1"/>
  <c r="H172" i="8"/>
  <c r="B172" i="8" s="1"/>
  <c r="H169" i="8"/>
  <c r="B169" i="8" s="1"/>
  <c r="H168" i="8"/>
  <c r="B168" i="8" s="1"/>
  <c r="H167" i="8"/>
  <c r="B167" i="8" s="1"/>
  <c r="H166" i="8"/>
  <c r="B166" i="8" s="1"/>
  <c r="H165" i="8"/>
  <c r="B165" i="8" s="1"/>
  <c r="H164" i="8"/>
  <c r="B164" i="8" s="1"/>
  <c r="H163" i="8"/>
  <c r="B163" i="8" s="1"/>
  <c r="H162" i="8"/>
  <c r="B162" i="8" s="1"/>
  <c r="H161" i="8"/>
  <c r="B161" i="8" s="1"/>
  <c r="H160" i="8"/>
  <c r="B160" i="8" s="1"/>
  <c r="H159" i="8"/>
  <c r="B159" i="8" s="1"/>
  <c r="H156" i="8"/>
  <c r="B156" i="8" s="1"/>
  <c r="H155" i="8"/>
  <c r="B155" i="8" s="1"/>
  <c r="H154" i="8"/>
  <c r="B154" i="8" s="1"/>
  <c r="H153" i="8"/>
  <c r="B153" i="8" s="1"/>
  <c r="H152" i="8"/>
  <c r="B152" i="8" s="1"/>
  <c r="H151" i="8"/>
  <c r="B151" i="8" s="1"/>
  <c r="H150" i="8"/>
  <c r="B150" i="8" s="1"/>
  <c r="H149" i="8"/>
  <c r="B149" i="8" s="1"/>
  <c r="H148" i="8"/>
  <c r="B148" i="8" s="1"/>
  <c r="H147" i="8"/>
  <c r="B147" i="8" s="1"/>
  <c r="H146" i="8"/>
  <c r="B146" i="8" s="1"/>
  <c r="H145" i="8"/>
  <c r="B145" i="8" s="1"/>
  <c r="H144" i="8"/>
  <c r="B144" i="8" s="1"/>
  <c r="H143" i="8"/>
  <c r="B143" i="8" s="1"/>
  <c r="H142" i="8"/>
  <c r="B142" i="8" s="1"/>
  <c r="H141" i="8"/>
  <c r="B141" i="8" s="1"/>
  <c r="H140" i="8"/>
  <c r="B140" i="8" s="1"/>
  <c r="H139" i="8"/>
  <c r="B139" i="8" s="1"/>
  <c r="H138" i="8"/>
  <c r="B138" i="8" s="1"/>
  <c r="H137" i="8"/>
  <c r="B137" i="8" s="1"/>
  <c r="H136" i="8"/>
  <c r="B136" i="8" s="1"/>
  <c r="H135" i="8"/>
  <c r="B135" i="8" s="1"/>
  <c r="H132" i="8"/>
  <c r="B132" i="8" s="1"/>
  <c r="H131" i="8"/>
  <c r="B131" i="8" s="1"/>
  <c r="H130" i="8"/>
  <c r="B130" i="8" s="1"/>
  <c r="H129" i="8"/>
  <c r="B129" i="8" s="1"/>
  <c r="H128" i="8"/>
  <c r="B128" i="8" s="1"/>
  <c r="H127" i="8"/>
  <c r="B127" i="8" s="1"/>
  <c r="H126" i="8"/>
  <c r="B126" i="8" s="1"/>
  <c r="H123" i="8"/>
  <c r="B123" i="8" s="1"/>
  <c r="H122" i="8"/>
  <c r="B122" i="8" s="1"/>
  <c r="H121" i="8"/>
  <c r="B121" i="8" s="1"/>
  <c r="H120" i="8"/>
  <c r="B120" i="8" s="1"/>
  <c r="H119" i="8"/>
  <c r="B119" i="8" s="1"/>
  <c r="H118" i="8"/>
  <c r="B118" i="8" s="1"/>
  <c r="H117" i="8"/>
  <c r="B117" i="8" s="1"/>
  <c r="H116" i="8"/>
  <c r="B116" i="8" s="1"/>
  <c r="H115" i="8"/>
  <c r="B115" i="8" s="1"/>
  <c r="H114" i="8"/>
  <c r="B114" i="8" s="1"/>
  <c r="H113" i="8"/>
  <c r="B113" i="8" s="1"/>
  <c r="H112" i="8"/>
  <c r="B112" i="8" s="1"/>
  <c r="H111" i="8"/>
  <c r="B111" i="8" s="1"/>
  <c r="H108" i="8"/>
  <c r="B108" i="8" s="1"/>
  <c r="H107" i="8"/>
  <c r="B107" i="8" s="1"/>
  <c r="H106" i="8"/>
  <c r="B106" i="8" s="1"/>
  <c r="H105" i="8"/>
  <c r="B105" i="8" s="1"/>
  <c r="H104" i="8"/>
  <c r="B104" i="8" s="1"/>
  <c r="H103" i="8"/>
  <c r="B103" i="8" s="1"/>
  <c r="H102" i="8"/>
  <c r="B102" i="8" s="1"/>
  <c r="H101" i="8"/>
  <c r="B101" i="8" s="1"/>
  <c r="H100" i="8"/>
  <c r="B100" i="8" s="1"/>
  <c r="H99" i="8"/>
  <c r="B99" i="8" s="1"/>
  <c r="H98" i="8"/>
  <c r="B98" i="8" s="1"/>
  <c r="H97" i="8"/>
  <c r="B97" i="8" s="1"/>
  <c r="H96" i="8"/>
  <c r="B96" i="8" s="1"/>
  <c r="H90" i="8"/>
  <c r="B90" i="8" s="1"/>
  <c r="H89" i="8"/>
  <c r="B89" i="8" s="1"/>
  <c r="H88" i="8"/>
  <c r="B88" i="8" s="1"/>
  <c r="H87" i="8"/>
  <c r="B87" i="8" s="1"/>
  <c r="H86" i="8"/>
  <c r="B86" i="8" s="1"/>
  <c r="H85" i="8"/>
  <c r="B85" i="8" s="1"/>
  <c r="H84" i="8"/>
  <c r="B84" i="8" s="1"/>
  <c r="H81" i="8"/>
  <c r="B81" i="8" s="1"/>
  <c r="H80" i="8"/>
  <c r="B80" i="8" s="1"/>
  <c r="H79" i="8"/>
  <c r="B79" i="8" s="1"/>
  <c r="H78" i="8"/>
  <c r="B78" i="8" s="1"/>
  <c r="H77" i="8"/>
  <c r="B77" i="8" s="1"/>
  <c r="H76" i="8"/>
  <c r="B76" i="8" s="1"/>
  <c r="H75" i="8"/>
  <c r="B75" i="8" s="1"/>
  <c r="H74" i="8"/>
  <c r="B74" i="8" s="1"/>
  <c r="H37" i="8"/>
  <c r="B37" i="8" s="1"/>
  <c r="H36" i="8"/>
  <c r="B36" i="8" s="1"/>
  <c r="H35" i="8"/>
  <c r="B35" i="8" s="1"/>
  <c r="H34" i="8"/>
  <c r="B34" i="8" s="1"/>
  <c r="H33" i="8"/>
  <c r="B33" i="8" s="1"/>
  <c r="H32" i="8"/>
  <c r="B32" i="8" s="1"/>
  <c r="H31" i="8"/>
  <c r="B31" i="8" s="1"/>
  <c r="H30" i="8"/>
  <c r="B30" i="8" s="1"/>
  <c r="H29" i="8"/>
  <c r="B29" i="8" s="1"/>
  <c r="H28" i="8"/>
  <c r="B28" i="8" s="1"/>
  <c r="H27" i="8"/>
  <c r="B27" i="8" s="1"/>
  <c r="H26" i="8"/>
  <c r="B26" i="8" s="1"/>
  <c r="H23" i="8"/>
  <c r="B23" i="8" s="1"/>
  <c r="H22" i="8"/>
  <c r="B22" i="8" s="1"/>
  <c r="H21" i="8"/>
  <c r="B21" i="8" s="1"/>
  <c r="H20" i="8"/>
  <c r="B20" i="8" s="1"/>
  <c r="H19" i="8"/>
  <c r="B19" i="8" s="1"/>
  <c r="H18" i="8"/>
  <c r="B18" i="8" s="1"/>
  <c r="H17" i="8"/>
  <c r="B17" i="8" s="1"/>
  <c r="H16" i="8"/>
  <c r="B16" i="8" s="1"/>
  <c r="H15" i="8"/>
  <c r="B15" i="8" s="1"/>
  <c r="H14" i="8"/>
  <c r="B14" i="8" s="1"/>
  <c r="H13" i="8"/>
  <c r="B13" i="8" s="1"/>
  <c r="H12" i="8"/>
  <c r="B12" i="8" s="1"/>
  <c r="H11" i="8"/>
  <c r="B11" i="8" s="1"/>
  <c r="H10" i="8"/>
  <c r="B10" i="8" s="1"/>
  <c r="H9" i="8"/>
  <c r="B9" i="8" s="1"/>
  <c r="H8" i="8"/>
  <c r="B8" i="8" s="1"/>
  <c r="H7" i="8"/>
  <c r="B7" i="8" s="1"/>
  <c r="H6" i="8"/>
  <c r="B6" i="8" s="1"/>
  <c r="H5" i="8"/>
  <c r="B5" i="8" s="1"/>
  <c r="H4" i="8"/>
  <c r="B4" i="8" s="1"/>
  <c r="H3" i="8"/>
  <c r="B3" i="8" s="1"/>
  <c r="H2" i="8"/>
  <c r="B2" i="8" s="1"/>
  <c r="P107" i="4" l="1"/>
  <c r="P109" i="4"/>
  <c r="P356" i="4"/>
  <c r="P347" i="4"/>
  <c r="P353" i="4"/>
  <c r="P324" i="4"/>
  <c r="P326" i="4"/>
  <c r="P320" i="4"/>
  <c r="P311" i="4"/>
  <c r="P308" i="4"/>
  <c r="P299" i="4"/>
  <c r="P298" i="4"/>
  <c r="P296" i="4"/>
  <c r="P276" i="4"/>
  <c r="P275" i="4"/>
  <c r="P285" i="4"/>
  <c r="P268" i="4"/>
  <c r="P272" i="4"/>
  <c r="P271" i="4"/>
  <c r="P259" i="4"/>
  <c r="P252" i="4"/>
  <c r="P256" i="4"/>
  <c r="P254" i="4"/>
  <c r="P249" i="4"/>
  <c r="P224" i="4"/>
  <c r="P222" i="4"/>
  <c r="P223" i="4"/>
  <c r="P234" i="4"/>
  <c r="P205" i="4"/>
  <c r="P196" i="4"/>
  <c r="P187" i="4"/>
  <c r="P191" i="4"/>
  <c r="P190" i="4"/>
  <c r="P182" i="4"/>
  <c r="P168" i="4"/>
  <c r="P145" i="4"/>
  <c r="P144" i="4"/>
  <c r="P139" i="4"/>
  <c r="P140" i="4"/>
  <c r="P124" i="4"/>
  <c r="P103" i="4"/>
  <c r="P99" i="4"/>
  <c r="P102" i="4"/>
  <c r="P100" i="4"/>
  <c r="P88" i="4"/>
  <c r="P78" i="4"/>
  <c r="P54" i="4"/>
  <c r="P53" i="4"/>
  <c r="P50" i="4"/>
  <c r="P47" i="4"/>
  <c r="P37" i="4"/>
  <c r="P34" i="4"/>
  <c r="P30" i="4"/>
  <c r="Q252" i="4"/>
  <c r="Q234" i="4"/>
  <c r="Q103" i="4"/>
  <c r="Q353" i="4"/>
  <c r="Q54" i="4"/>
  <c r="Q223" i="4"/>
  <c r="Q88" i="4"/>
  <c r="Q347" i="4"/>
  <c r="Q30" i="4"/>
  <c r="Q296" i="4"/>
  <c r="Q356" i="4"/>
  <c r="Q102" i="4"/>
  <c r="Q324" i="4"/>
  <c r="Q320" i="4"/>
  <c r="Q109" i="4"/>
  <c r="Q53" i="4"/>
  <c r="Q254" i="4"/>
  <c r="Q99" i="4"/>
  <c r="Q249" i="4"/>
  <c r="Q100" i="4"/>
  <c r="Q187" i="4"/>
  <c r="Q37" i="4"/>
  <c r="Q256" i="4"/>
  <c r="Q34" i="4"/>
  <c r="Q144" i="4"/>
  <c r="Q107" i="4"/>
  <c r="Q259" i="4"/>
  <c r="Q47" i="4"/>
  <c r="Q311" i="4"/>
  <c r="Q276" i="4"/>
  <c r="Q145" i="4"/>
  <c r="Q224" i="4"/>
  <c r="Q222" i="4"/>
  <c r="Q326" i="4"/>
  <c r="Q205" i="4"/>
  <c r="Q196" i="4"/>
  <c r="Q191" i="4"/>
  <c r="Q182" i="4"/>
  <c r="Q285" i="4"/>
  <c r="Q139" i="4"/>
  <c r="Q50" i="4"/>
  <c r="Q78" i="4"/>
  <c r="Q308" i="4"/>
  <c r="Q298" i="4"/>
  <c r="Q275" i="4"/>
  <c r="Q268" i="4"/>
  <c r="Q271" i="4"/>
  <c r="Q299" i="4"/>
  <c r="Q190" i="4"/>
  <c r="Q272" i="4"/>
  <c r="Q168" i="4"/>
  <c r="Q140" i="4"/>
  <c r="Q124" i="4"/>
  <c r="H211" i="7" l="1"/>
  <c r="B211" i="7" s="1"/>
  <c r="H210" i="7"/>
  <c r="B210" i="7" s="1"/>
  <c r="H209" i="7"/>
  <c r="B209" i="7" s="1"/>
  <c r="H208" i="7"/>
  <c r="B208" i="7" s="1"/>
  <c r="H207" i="7"/>
  <c r="B207" i="7" s="1"/>
  <c r="H190" i="7"/>
  <c r="B190" i="7" s="1"/>
  <c r="H189" i="7"/>
  <c r="B189" i="7" s="1"/>
  <c r="H188" i="7"/>
  <c r="B188" i="7" s="1"/>
  <c r="H187" i="7"/>
  <c r="B187" i="7" s="1"/>
  <c r="H186" i="7"/>
  <c r="B186" i="7" s="1"/>
  <c r="H185" i="7"/>
  <c r="B185" i="7" s="1"/>
  <c r="H184" i="7"/>
  <c r="B184" i="7" s="1"/>
  <c r="H183" i="7"/>
  <c r="B183" i="7" s="1"/>
  <c r="H169" i="7"/>
  <c r="B169" i="7" s="1"/>
  <c r="H157" i="7"/>
  <c r="B157" i="7" s="1"/>
  <c r="H158" i="7"/>
  <c r="B158" i="7" s="1"/>
  <c r="H159" i="7"/>
  <c r="B159" i="7" s="1"/>
  <c r="H160" i="7"/>
  <c r="B160" i="7" s="1"/>
  <c r="H161" i="7"/>
  <c r="B161" i="7" s="1"/>
  <c r="H162" i="7"/>
  <c r="B162" i="7" s="1"/>
  <c r="H163" i="7"/>
  <c r="B163" i="7" s="1"/>
  <c r="H164" i="7"/>
  <c r="B164" i="7" s="1"/>
  <c r="H165" i="7"/>
  <c r="B165" i="7" s="1"/>
  <c r="H166" i="7"/>
  <c r="B166" i="7" s="1"/>
  <c r="H170" i="7"/>
  <c r="B170" i="7" s="1"/>
  <c r="H171" i="7"/>
  <c r="B171" i="7" s="1"/>
  <c r="H172" i="7"/>
  <c r="B172" i="7" s="1"/>
  <c r="H173" i="7"/>
  <c r="B173" i="7" s="1"/>
  <c r="H174" i="7"/>
  <c r="B174" i="7" s="1"/>
  <c r="H175" i="7"/>
  <c r="B175" i="7" s="1"/>
  <c r="H176" i="7"/>
  <c r="B176" i="7" s="1"/>
  <c r="H177" i="7"/>
  <c r="B177" i="7" s="1"/>
  <c r="H178" i="7"/>
  <c r="B178" i="7" s="1"/>
  <c r="H179" i="7"/>
  <c r="B179" i="7" s="1"/>
  <c r="H180" i="7"/>
  <c r="B180" i="7" s="1"/>
  <c r="H181" i="7"/>
  <c r="B181" i="7" s="1"/>
  <c r="H182" i="7"/>
  <c r="B182" i="7" s="1"/>
  <c r="H221" i="7"/>
  <c r="B221" i="7" s="1"/>
  <c r="H220" i="7"/>
  <c r="B220" i="7" s="1"/>
  <c r="H219" i="7"/>
  <c r="B219" i="7" s="1"/>
  <c r="H156" i="7"/>
  <c r="B156" i="7" s="1"/>
  <c r="H129" i="7"/>
  <c r="B129" i="7" s="1"/>
  <c r="H120" i="7"/>
  <c r="B120" i="7" s="1"/>
  <c r="H119" i="7"/>
  <c r="B119" i="7" s="1"/>
  <c r="H118" i="7"/>
  <c r="B118" i="7" s="1"/>
  <c r="H117" i="7"/>
  <c r="B117" i="7" s="1"/>
  <c r="H90" i="7"/>
  <c r="B90" i="7" s="1"/>
  <c r="H81" i="7"/>
  <c r="B81" i="7" s="1"/>
  <c r="H80" i="7"/>
  <c r="B80" i="7" s="1"/>
  <c r="H79" i="7"/>
  <c r="B79" i="7" s="1"/>
  <c r="H37" i="7"/>
  <c r="B37" i="7" s="1"/>
  <c r="H36" i="7"/>
  <c r="B36" i="7" s="1"/>
  <c r="H23" i="7"/>
  <c r="B23" i="7" s="1"/>
  <c r="H22" i="7"/>
  <c r="B22" i="7" s="1"/>
  <c r="H21" i="7"/>
  <c r="B21" i="7" s="1"/>
  <c r="H218" i="7"/>
  <c r="B218" i="7" s="1"/>
  <c r="H217" i="7"/>
  <c r="B217" i="7" s="1"/>
  <c r="H216" i="7"/>
  <c r="B216" i="7" s="1"/>
  <c r="H215" i="7"/>
  <c r="B215" i="7" s="1"/>
  <c r="H214" i="7"/>
  <c r="B214" i="7" s="1"/>
  <c r="H206" i="7"/>
  <c r="B206" i="7" s="1"/>
  <c r="H205" i="7"/>
  <c r="B205" i="7" s="1"/>
  <c r="H204" i="7"/>
  <c r="B204" i="7" s="1"/>
  <c r="H203" i="7"/>
  <c r="B203" i="7" s="1"/>
  <c r="H202" i="7"/>
  <c r="B202" i="7" s="1"/>
  <c r="H201" i="7"/>
  <c r="B201" i="7" s="1"/>
  <c r="H200" i="7"/>
  <c r="B200" i="7" s="1"/>
  <c r="H197" i="7"/>
  <c r="B197" i="7" s="1"/>
  <c r="H196" i="7"/>
  <c r="B196" i="7" s="1"/>
  <c r="H195" i="7"/>
  <c r="B195" i="7" s="1"/>
  <c r="H194" i="7"/>
  <c r="B194" i="7" s="1"/>
  <c r="H193" i="7"/>
  <c r="B193" i="7" s="1"/>
  <c r="H153" i="7"/>
  <c r="B153" i="7" s="1"/>
  <c r="H152" i="7"/>
  <c r="B152" i="7" s="1"/>
  <c r="H151" i="7"/>
  <c r="B151" i="7" s="1"/>
  <c r="H150" i="7"/>
  <c r="B150" i="7" s="1"/>
  <c r="H149" i="7"/>
  <c r="B149" i="7" s="1"/>
  <c r="H148" i="7"/>
  <c r="B148" i="7" s="1"/>
  <c r="H147" i="7"/>
  <c r="B147" i="7" s="1"/>
  <c r="H146" i="7"/>
  <c r="B146" i="7" s="1"/>
  <c r="H145" i="7"/>
  <c r="B145" i="7" s="1"/>
  <c r="H144" i="7"/>
  <c r="B144" i="7" s="1"/>
  <c r="H143" i="7"/>
  <c r="B143" i="7" s="1"/>
  <c r="H142" i="7"/>
  <c r="B142" i="7" s="1"/>
  <c r="H141" i="7"/>
  <c r="B141" i="7" s="1"/>
  <c r="H140" i="7"/>
  <c r="B140" i="7" s="1"/>
  <c r="H139" i="7"/>
  <c r="B139" i="7" s="1"/>
  <c r="H138" i="7"/>
  <c r="B138" i="7" s="1"/>
  <c r="H137" i="7"/>
  <c r="B137" i="7" s="1"/>
  <c r="H136" i="7"/>
  <c r="B136" i="7" s="1"/>
  <c r="H135" i="7"/>
  <c r="B135" i="7" s="1"/>
  <c r="H134" i="7"/>
  <c r="B134" i="7" s="1"/>
  <c r="H133" i="7"/>
  <c r="B133" i="7" s="1"/>
  <c r="H132" i="7"/>
  <c r="B132" i="7" s="1"/>
  <c r="H128" i="7"/>
  <c r="B128" i="7" s="1"/>
  <c r="H127" i="7"/>
  <c r="B127" i="7" s="1"/>
  <c r="H126" i="7"/>
  <c r="B126" i="7" s="1"/>
  <c r="H125" i="7"/>
  <c r="B125" i="7" s="1"/>
  <c r="H124" i="7"/>
  <c r="B124" i="7" s="1"/>
  <c r="H123" i="7"/>
  <c r="B123" i="7" s="1"/>
  <c r="H116" i="7"/>
  <c r="B116" i="7" s="1"/>
  <c r="H115" i="7"/>
  <c r="B115" i="7" s="1"/>
  <c r="H114" i="7"/>
  <c r="B114" i="7" s="1"/>
  <c r="H113" i="7"/>
  <c r="B113" i="7" s="1"/>
  <c r="H112" i="7"/>
  <c r="B112" i="7" s="1"/>
  <c r="H111" i="7"/>
  <c r="B111" i="7" s="1"/>
  <c r="H110" i="7"/>
  <c r="B110" i="7" s="1"/>
  <c r="H109" i="7"/>
  <c r="B109" i="7" s="1"/>
  <c r="H108" i="7"/>
  <c r="B108" i="7" s="1"/>
  <c r="H105" i="7"/>
  <c r="B105" i="7" s="1"/>
  <c r="H104" i="7"/>
  <c r="B104" i="7" s="1"/>
  <c r="H103" i="7"/>
  <c r="B103" i="7" s="1"/>
  <c r="H102" i="7"/>
  <c r="B102" i="7" s="1"/>
  <c r="H101" i="7"/>
  <c r="B101" i="7" s="1"/>
  <c r="H100" i="7"/>
  <c r="B100" i="7" s="1"/>
  <c r="H99" i="7"/>
  <c r="B99" i="7" s="1"/>
  <c r="H98" i="7"/>
  <c r="B98" i="7" s="1"/>
  <c r="H97" i="7"/>
  <c r="B97" i="7" s="1"/>
  <c r="H96" i="7"/>
  <c r="B96" i="7" s="1"/>
  <c r="H95" i="7"/>
  <c r="B95" i="7" s="1"/>
  <c r="H94" i="7"/>
  <c r="B94" i="7" s="1"/>
  <c r="H93" i="7"/>
  <c r="B93" i="7" s="1"/>
  <c r="H89" i="7"/>
  <c r="B89" i="7" s="1"/>
  <c r="H88" i="7"/>
  <c r="B88" i="7" s="1"/>
  <c r="H87" i="7"/>
  <c r="B87" i="7" s="1"/>
  <c r="H86" i="7"/>
  <c r="B86" i="7" s="1"/>
  <c r="H85" i="7"/>
  <c r="B85" i="7" s="1"/>
  <c r="H84" i="7"/>
  <c r="B84" i="7" s="1"/>
  <c r="H78" i="7"/>
  <c r="B78" i="7" s="1"/>
  <c r="H77" i="7"/>
  <c r="B77" i="7" s="1"/>
  <c r="H76" i="7"/>
  <c r="B76" i="7" s="1"/>
  <c r="H75" i="7"/>
  <c r="B75" i="7" s="1"/>
  <c r="H74" i="7"/>
  <c r="B74" i="7" s="1"/>
  <c r="H35" i="7"/>
  <c r="B35" i="7" s="1"/>
  <c r="H34" i="7"/>
  <c r="B34" i="7" s="1"/>
  <c r="H33" i="7"/>
  <c r="B33" i="7" s="1"/>
  <c r="H32" i="7"/>
  <c r="B32" i="7" s="1"/>
  <c r="H31" i="7"/>
  <c r="B31" i="7" s="1"/>
  <c r="H30" i="7"/>
  <c r="B30" i="7" s="1"/>
  <c r="H29" i="7"/>
  <c r="B29" i="7" s="1"/>
  <c r="H28" i="7"/>
  <c r="B28" i="7" s="1"/>
  <c r="H27" i="7"/>
  <c r="B27" i="7" s="1"/>
  <c r="H26" i="7"/>
  <c r="B26" i="7" s="1"/>
  <c r="H20" i="7"/>
  <c r="B20" i="7" s="1"/>
  <c r="H19" i="7"/>
  <c r="B19" i="7" s="1"/>
  <c r="H18" i="7"/>
  <c r="B18" i="7" s="1"/>
  <c r="H17" i="7"/>
  <c r="B17" i="7" s="1"/>
  <c r="H16" i="7"/>
  <c r="B16" i="7" s="1"/>
  <c r="H15" i="7"/>
  <c r="B15" i="7" s="1"/>
  <c r="H14" i="7"/>
  <c r="B14" i="7" s="1"/>
  <c r="H13" i="7"/>
  <c r="B13" i="7" s="1"/>
  <c r="H12" i="7"/>
  <c r="B12" i="7" s="1"/>
  <c r="H11" i="7"/>
  <c r="B11" i="7" s="1"/>
  <c r="H10" i="7"/>
  <c r="B10" i="7" s="1"/>
  <c r="H9" i="7"/>
  <c r="B9" i="7" s="1"/>
  <c r="H8" i="7"/>
  <c r="B8" i="7" s="1"/>
  <c r="H7" i="7"/>
  <c r="B7" i="7" s="1"/>
  <c r="H6" i="7"/>
  <c r="B6" i="7" s="1"/>
  <c r="H5" i="7"/>
  <c r="B5" i="7" s="1"/>
  <c r="H4" i="7"/>
  <c r="B4" i="7" s="1"/>
  <c r="H3" i="7"/>
  <c r="B3" i="7" s="1"/>
  <c r="H2" i="7"/>
  <c r="B2" i="7" s="1"/>
  <c r="P293" i="4"/>
  <c r="Q293" i="4"/>
  <c r="P348" i="4" l="1"/>
  <c r="P184" i="4"/>
  <c r="P265" i="4"/>
  <c r="P7" i="4"/>
  <c r="Q7" i="4"/>
  <c r="Q265" i="4"/>
  <c r="Q184" i="4"/>
  <c r="Q348" i="4"/>
  <c r="P163" i="4" l="1"/>
  <c r="Q163" i="4"/>
  <c r="P349" i="4" l="1"/>
  <c r="P325" i="4"/>
  <c r="P331" i="4"/>
  <c r="P328" i="4"/>
  <c r="P310" i="4"/>
  <c r="P288" i="4"/>
  <c r="P284" i="4"/>
  <c r="P274" i="4"/>
  <c r="P267" i="4"/>
  <c r="P232" i="4"/>
  <c r="P230" i="4"/>
  <c r="P193" i="4"/>
  <c r="P170" i="4"/>
  <c r="P164" i="4"/>
  <c r="P167" i="4"/>
  <c r="P123" i="4"/>
  <c r="P98" i="4"/>
  <c r="P51" i="4"/>
  <c r="P48" i="4"/>
  <c r="P25" i="4"/>
  <c r="P8" i="4"/>
  <c r="P344" i="4"/>
  <c r="P258" i="4"/>
  <c r="P220" i="4"/>
  <c r="P221" i="4"/>
  <c r="P203" i="4"/>
  <c r="P201" i="4"/>
  <c r="P188" i="4"/>
  <c r="P189" i="4"/>
  <c r="P166" i="4"/>
  <c r="Q344" i="4"/>
  <c r="Q166" i="4"/>
  <c r="Q232" i="4"/>
  <c r="Q325" i="4"/>
  <c r="Q220" i="4"/>
  <c r="Q267" i="4"/>
  <c r="Q310" i="4"/>
  <c r="Q48" i="4"/>
  <c r="Q258" i="4"/>
  <c r="Q230" i="4"/>
  <c r="Q349" i="4"/>
  <c r="Q8" i="4"/>
  <c r="Q25" i="4"/>
  <c r="Q274" i="4"/>
  <c r="Q284" i="4"/>
  <c r="Q51" i="4"/>
  <c r="Q331" i="4"/>
  <c r="Q164" i="4"/>
  <c r="Q328" i="4"/>
  <c r="Q170" i="4"/>
  <c r="Q203" i="4"/>
  <c r="Q221" i="4"/>
  <c r="Q189" i="4"/>
  <c r="Q288" i="4"/>
  <c r="Q201" i="4"/>
  <c r="Q188" i="4"/>
  <c r="Q167" i="4"/>
  <c r="Q98" i="4"/>
  <c r="Q193" i="4"/>
  <c r="Q123" i="4"/>
  <c r="H183" i="6" l="1"/>
  <c r="B183" i="6" s="1"/>
  <c r="H182" i="6"/>
  <c r="B182" i="6" s="1"/>
  <c r="H168" i="6"/>
  <c r="B168" i="6" s="1"/>
  <c r="H167" i="6"/>
  <c r="B167" i="6" s="1"/>
  <c r="H20" i="6"/>
  <c r="B20" i="6" s="1"/>
  <c r="H19" i="6"/>
  <c r="B19" i="6" s="1"/>
  <c r="H18" i="6"/>
  <c r="B18" i="6" s="1"/>
  <c r="H17" i="6"/>
  <c r="B17" i="6" s="1"/>
  <c r="H16" i="6"/>
  <c r="B16" i="6" s="1"/>
  <c r="H15" i="6"/>
  <c r="B15" i="6" s="1"/>
  <c r="H14" i="6"/>
  <c r="B14" i="6" s="1"/>
  <c r="H13" i="6"/>
  <c r="B13" i="6" s="1"/>
  <c r="H181" i="6"/>
  <c r="B181" i="6" s="1"/>
  <c r="H180" i="6"/>
  <c r="B180" i="6" s="1"/>
  <c r="H179" i="6"/>
  <c r="B179" i="6" s="1"/>
  <c r="H176" i="6"/>
  <c r="B176" i="6" s="1"/>
  <c r="H175" i="6"/>
  <c r="B175" i="6" s="1"/>
  <c r="H174" i="6"/>
  <c r="B174" i="6" s="1"/>
  <c r="H173" i="6"/>
  <c r="B173" i="6" s="1"/>
  <c r="H172" i="6"/>
  <c r="B172" i="6" s="1"/>
  <c r="H171" i="6"/>
  <c r="B171" i="6" s="1"/>
  <c r="H170" i="6"/>
  <c r="B170" i="6" s="1"/>
  <c r="H166" i="6"/>
  <c r="B166" i="6" s="1"/>
  <c r="H165" i="6"/>
  <c r="B165" i="6" s="1"/>
  <c r="H164" i="6"/>
  <c r="B164" i="6" s="1"/>
  <c r="H161" i="6"/>
  <c r="B161" i="6" s="1"/>
  <c r="H160" i="6"/>
  <c r="B160" i="6" s="1"/>
  <c r="H159" i="6"/>
  <c r="B159" i="6" s="1"/>
  <c r="H158" i="6"/>
  <c r="B158" i="6" s="1"/>
  <c r="H157" i="6"/>
  <c r="B157" i="6" s="1"/>
  <c r="H156" i="6"/>
  <c r="B156" i="6" s="1"/>
  <c r="H155" i="6"/>
  <c r="B155" i="6" s="1"/>
  <c r="H154" i="6"/>
  <c r="B154" i="6" s="1"/>
  <c r="H153" i="6"/>
  <c r="B153" i="6" s="1"/>
  <c r="H152" i="6"/>
  <c r="B152" i="6" s="1"/>
  <c r="H151" i="6"/>
  <c r="B151" i="6" s="1"/>
  <c r="H150" i="6"/>
  <c r="B150" i="6" s="1"/>
  <c r="H149" i="6"/>
  <c r="B149" i="6" s="1"/>
  <c r="H148" i="6"/>
  <c r="B148" i="6" s="1"/>
  <c r="H145" i="6"/>
  <c r="B145" i="6" s="1"/>
  <c r="H144" i="6"/>
  <c r="B144" i="6" s="1"/>
  <c r="H143" i="6"/>
  <c r="B143" i="6" s="1"/>
  <c r="H142" i="6"/>
  <c r="B142" i="6" s="1"/>
  <c r="H141" i="6"/>
  <c r="B141" i="6" s="1"/>
  <c r="H140" i="6"/>
  <c r="B140" i="6" s="1"/>
  <c r="H139" i="6"/>
  <c r="B139" i="6" s="1"/>
  <c r="H138" i="6"/>
  <c r="B138" i="6" s="1"/>
  <c r="H137" i="6"/>
  <c r="B137" i="6" s="1"/>
  <c r="H136" i="6"/>
  <c r="B136" i="6" s="1"/>
  <c r="H133" i="6"/>
  <c r="B133" i="6" s="1"/>
  <c r="H132" i="6"/>
  <c r="B132" i="6" s="1"/>
  <c r="H131" i="6"/>
  <c r="B131" i="6" s="1"/>
  <c r="H130" i="6"/>
  <c r="B130" i="6" s="1"/>
  <c r="H129" i="6"/>
  <c r="B129" i="6" s="1"/>
  <c r="H128" i="6"/>
  <c r="B128" i="6" s="1"/>
  <c r="H127" i="6"/>
  <c r="B127" i="6" s="1"/>
  <c r="H126" i="6"/>
  <c r="B126" i="6" s="1"/>
  <c r="H125" i="6"/>
  <c r="B125" i="6" s="1"/>
  <c r="H124" i="6"/>
  <c r="B124" i="6" s="1"/>
  <c r="H123" i="6"/>
  <c r="B123" i="6" s="1"/>
  <c r="H122" i="6"/>
  <c r="B122" i="6" s="1"/>
  <c r="H121" i="6"/>
  <c r="B121" i="6" s="1"/>
  <c r="H120" i="6"/>
  <c r="B120" i="6" s="1"/>
  <c r="H119" i="6"/>
  <c r="B119" i="6" s="1"/>
  <c r="H118" i="6"/>
  <c r="B118" i="6" s="1"/>
  <c r="H117" i="6"/>
  <c r="B117" i="6" s="1"/>
  <c r="H116" i="6"/>
  <c r="B116" i="6" s="1"/>
  <c r="H115" i="6"/>
  <c r="B115" i="6" s="1"/>
  <c r="H114" i="6"/>
  <c r="B114" i="6" s="1"/>
  <c r="H113" i="6"/>
  <c r="B113" i="6" s="1"/>
  <c r="H112" i="6"/>
  <c r="B112" i="6" s="1"/>
  <c r="H109" i="6"/>
  <c r="B109" i="6" s="1"/>
  <c r="H108" i="6"/>
  <c r="B108" i="6" s="1"/>
  <c r="H107" i="6"/>
  <c r="B107" i="6" s="1"/>
  <c r="H106" i="6"/>
  <c r="B106" i="6" s="1"/>
  <c r="H105" i="6"/>
  <c r="B105" i="6" s="1"/>
  <c r="H104" i="6"/>
  <c r="B104" i="6" s="1"/>
  <c r="H101" i="6"/>
  <c r="B101" i="6" s="1"/>
  <c r="H100" i="6"/>
  <c r="B100" i="6" s="1"/>
  <c r="H99" i="6"/>
  <c r="B99" i="6" s="1"/>
  <c r="H98" i="6"/>
  <c r="B98" i="6" s="1"/>
  <c r="H97" i="6"/>
  <c r="B97" i="6" s="1"/>
  <c r="H96" i="6"/>
  <c r="B96" i="6" s="1"/>
  <c r="H95" i="6"/>
  <c r="B95" i="6" s="1"/>
  <c r="H94" i="6"/>
  <c r="B94" i="6" s="1"/>
  <c r="H93" i="6"/>
  <c r="B93" i="6" s="1"/>
  <c r="H90" i="6"/>
  <c r="B90" i="6" s="1"/>
  <c r="H89" i="6"/>
  <c r="B89" i="6" s="1"/>
  <c r="H88" i="6"/>
  <c r="B88" i="6" s="1"/>
  <c r="H87" i="6"/>
  <c r="B87" i="6" s="1"/>
  <c r="H86" i="6"/>
  <c r="B86" i="6" s="1"/>
  <c r="H85" i="6"/>
  <c r="B85" i="6" s="1"/>
  <c r="H84" i="6"/>
  <c r="B84" i="6" s="1"/>
  <c r="H83" i="6"/>
  <c r="B83" i="6" s="1"/>
  <c r="H82" i="6"/>
  <c r="B82" i="6" s="1"/>
  <c r="H81" i="6"/>
  <c r="B81" i="6" s="1"/>
  <c r="H80" i="6"/>
  <c r="B80" i="6" s="1"/>
  <c r="H79" i="6"/>
  <c r="B79" i="6" s="1"/>
  <c r="H78" i="6"/>
  <c r="B78" i="6" s="1"/>
  <c r="H75" i="6"/>
  <c r="B75" i="6" s="1"/>
  <c r="H74" i="6"/>
  <c r="B74" i="6" s="1"/>
  <c r="H73" i="6"/>
  <c r="B73" i="6" s="1"/>
  <c r="H72" i="6"/>
  <c r="B72" i="6" s="1"/>
  <c r="H71" i="6"/>
  <c r="B71" i="6" s="1"/>
  <c r="H70" i="6"/>
  <c r="B70" i="6" s="1"/>
  <c r="H67" i="6"/>
  <c r="B67" i="6" s="1"/>
  <c r="H66" i="6"/>
  <c r="B66" i="6" s="1"/>
  <c r="H65" i="6"/>
  <c r="B65" i="6" s="1"/>
  <c r="H64" i="6"/>
  <c r="B64" i="6" s="1"/>
  <c r="H63" i="6"/>
  <c r="B63" i="6" s="1"/>
  <c r="H31" i="6"/>
  <c r="B31" i="6" s="1"/>
  <c r="H30" i="6"/>
  <c r="B30" i="6" s="1"/>
  <c r="H29" i="6"/>
  <c r="B29" i="6" s="1"/>
  <c r="H28" i="6"/>
  <c r="B28" i="6" s="1"/>
  <c r="H27" i="6"/>
  <c r="B27" i="6" s="1"/>
  <c r="H26" i="6"/>
  <c r="B26" i="6" s="1"/>
  <c r="H25" i="6"/>
  <c r="B25" i="6" s="1"/>
  <c r="H24" i="6"/>
  <c r="B24" i="6" s="1"/>
  <c r="H23" i="6"/>
  <c r="B23" i="6" s="1"/>
  <c r="H22" i="6"/>
  <c r="B22" i="6" s="1"/>
  <c r="H12" i="6"/>
  <c r="B12" i="6" s="1"/>
  <c r="H11" i="6"/>
  <c r="B11" i="6" s="1"/>
  <c r="H10" i="6"/>
  <c r="B10" i="6" s="1"/>
  <c r="H9" i="6"/>
  <c r="B9" i="6" s="1"/>
  <c r="H8" i="6"/>
  <c r="B8" i="6" s="1"/>
  <c r="H7" i="6"/>
  <c r="B7" i="6" s="1"/>
  <c r="H6" i="6"/>
  <c r="B6" i="6" s="1"/>
  <c r="H5" i="6"/>
  <c r="B5" i="6" s="1"/>
  <c r="H4" i="6"/>
  <c r="B4" i="6" s="1"/>
  <c r="H3" i="6"/>
  <c r="B3" i="6" s="1"/>
  <c r="H2" i="6"/>
  <c r="B2" i="6" s="1"/>
  <c r="P142" i="4" l="1"/>
  <c r="Q142" i="4"/>
  <c r="P304" i="4" l="1"/>
  <c r="Q304" i="4"/>
  <c r="P75" i="4" l="1"/>
  <c r="P77" i="4"/>
  <c r="P76" i="4"/>
  <c r="P86" i="4"/>
  <c r="P91" i="4"/>
  <c r="P96" i="4"/>
  <c r="P97" i="4"/>
  <c r="P95" i="4"/>
  <c r="P121" i="4"/>
  <c r="P122" i="4"/>
  <c r="P138" i="4"/>
  <c r="P141" i="4"/>
  <c r="P146" i="4"/>
  <c r="P155" i="4"/>
  <c r="P156" i="4"/>
  <c r="P159" i="4"/>
  <c r="P158" i="4"/>
  <c r="P157" i="4"/>
  <c r="P160" i="4"/>
  <c r="P162" i="4"/>
  <c r="P165" i="4"/>
  <c r="P185" i="4"/>
  <c r="P186" i="4"/>
  <c r="P192" i="4"/>
  <c r="P183" i="4"/>
  <c r="P202" i="4"/>
  <c r="P200" i="4"/>
  <c r="P210" i="4"/>
  <c r="P211" i="4"/>
  <c r="P214" i="4"/>
  <c r="P215" i="4"/>
  <c r="P229" i="4"/>
  <c r="P213" i="4"/>
  <c r="P219" i="4"/>
  <c r="P212" i="4"/>
  <c r="P217" i="4"/>
  <c r="P237" i="4"/>
  <c r="P218" i="4"/>
  <c r="P216" i="4"/>
  <c r="P240" i="4"/>
  <c r="P246" i="4"/>
  <c r="P248" i="4"/>
  <c r="P250" i="4"/>
  <c r="P244" i="4"/>
  <c r="P253" i="4"/>
  <c r="P245" i="4"/>
  <c r="P251" i="4"/>
  <c r="P247" i="4"/>
  <c r="P243" i="4"/>
  <c r="P263" i="4"/>
  <c r="P283" i="4"/>
  <c r="P264" i="4"/>
  <c r="P266" i="4"/>
  <c r="P287" i="4"/>
  <c r="P277" i="4"/>
  <c r="P278" i="4"/>
  <c r="P294" i="4"/>
  <c r="P306" i="4"/>
  <c r="P305" i="4"/>
  <c r="P319" i="4"/>
  <c r="P316" i="4"/>
  <c r="P317" i="4"/>
  <c r="P318" i="4"/>
  <c r="P321" i="4"/>
  <c r="P335" i="4"/>
  <c r="P350" i="4"/>
  <c r="P345" i="4"/>
  <c r="P65" i="4"/>
  <c r="P61" i="4"/>
  <c r="P62" i="4"/>
  <c r="P63" i="4"/>
  <c r="P71" i="4"/>
  <c r="P66" i="4"/>
  <c r="P46" i="4"/>
  <c r="P43" i="4"/>
  <c r="P44" i="4"/>
  <c r="P45" i="4"/>
  <c r="P52" i="4"/>
  <c r="P42" i="4"/>
  <c r="P6" i="4"/>
  <c r="P9" i="4"/>
  <c r="P11" i="4"/>
  <c r="P19" i="4"/>
  <c r="P21" i="4"/>
  <c r="P13" i="4"/>
  <c r="P12" i="4"/>
  <c r="P24" i="4"/>
  <c r="P10" i="4"/>
  <c r="H170" i="1"/>
  <c r="B170" i="1" s="1"/>
  <c r="H171" i="1"/>
  <c r="B171" i="1" s="1"/>
  <c r="H172" i="1"/>
  <c r="B172" i="1" s="1"/>
  <c r="H161" i="1"/>
  <c r="B161" i="1" s="1"/>
  <c r="H162" i="1"/>
  <c r="B162" i="1" s="1"/>
  <c r="H163" i="1"/>
  <c r="B163" i="1" s="1"/>
  <c r="H164" i="1"/>
  <c r="B164" i="1" s="1"/>
  <c r="H165" i="1"/>
  <c r="B165" i="1" s="1"/>
  <c r="H166" i="1"/>
  <c r="B166" i="1" s="1"/>
  <c r="H167" i="1"/>
  <c r="B167" i="1" s="1"/>
  <c r="H156" i="1"/>
  <c r="B156" i="1" s="1"/>
  <c r="H157" i="1"/>
  <c r="B157" i="1" s="1"/>
  <c r="H158" i="1"/>
  <c r="B158" i="1" s="1"/>
  <c r="H140" i="1"/>
  <c r="B140" i="1" s="1"/>
  <c r="H141" i="1"/>
  <c r="B141" i="1" s="1"/>
  <c r="H142" i="1"/>
  <c r="B142" i="1" s="1"/>
  <c r="H143" i="1"/>
  <c r="B143" i="1" s="1"/>
  <c r="H144" i="1"/>
  <c r="B144" i="1" s="1"/>
  <c r="H145" i="1"/>
  <c r="B145" i="1" s="1"/>
  <c r="H146" i="1"/>
  <c r="B146" i="1" s="1"/>
  <c r="H147" i="1"/>
  <c r="B147" i="1" s="1"/>
  <c r="H148" i="1"/>
  <c r="B148" i="1" s="1"/>
  <c r="H149" i="1"/>
  <c r="B149" i="1" s="1"/>
  <c r="H150" i="1"/>
  <c r="B150" i="1" s="1"/>
  <c r="H151" i="1"/>
  <c r="B151" i="1" s="1"/>
  <c r="H152" i="1"/>
  <c r="B152" i="1" s="1"/>
  <c r="H153" i="1"/>
  <c r="B153" i="1" s="1"/>
  <c r="H128" i="1"/>
  <c r="B128" i="1" s="1"/>
  <c r="H129" i="1"/>
  <c r="B129" i="1" s="1"/>
  <c r="H130" i="1"/>
  <c r="B130" i="1" s="1"/>
  <c r="H131" i="1"/>
  <c r="B131" i="1" s="1"/>
  <c r="H132" i="1"/>
  <c r="B132" i="1" s="1"/>
  <c r="H133" i="1"/>
  <c r="B133" i="1" s="1"/>
  <c r="H134" i="1"/>
  <c r="B134" i="1" s="1"/>
  <c r="H135" i="1"/>
  <c r="B135" i="1" s="1"/>
  <c r="H136" i="1"/>
  <c r="B136" i="1" s="1"/>
  <c r="H137" i="1"/>
  <c r="B137" i="1" s="1"/>
  <c r="H104" i="1"/>
  <c r="B104" i="1" s="1"/>
  <c r="H105" i="1"/>
  <c r="B105" i="1" s="1"/>
  <c r="H106" i="1"/>
  <c r="B106" i="1" s="1"/>
  <c r="H107" i="1"/>
  <c r="B107" i="1" s="1"/>
  <c r="H108" i="1"/>
  <c r="B108" i="1" s="1"/>
  <c r="H109" i="1"/>
  <c r="B109" i="1" s="1"/>
  <c r="H110" i="1"/>
  <c r="B110" i="1" s="1"/>
  <c r="H111" i="1"/>
  <c r="B111" i="1" s="1"/>
  <c r="H112" i="1"/>
  <c r="B112" i="1" s="1"/>
  <c r="H113" i="1"/>
  <c r="B113" i="1" s="1"/>
  <c r="H114" i="1"/>
  <c r="B114" i="1" s="1"/>
  <c r="H115" i="1"/>
  <c r="B115" i="1" s="1"/>
  <c r="H116" i="1"/>
  <c r="B116" i="1" s="1"/>
  <c r="H117" i="1"/>
  <c r="B117" i="1" s="1"/>
  <c r="H118" i="1"/>
  <c r="B118" i="1" s="1"/>
  <c r="H119" i="1"/>
  <c r="B119" i="1" s="1"/>
  <c r="H120" i="1"/>
  <c r="B120" i="1" s="1"/>
  <c r="H121" i="1"/>
  <c r="B121" i="1" s="1"/>
  <c r="H122" i="1"/>
  <c r="B122" i="1" s="1"/>
  <c r="H123" i="1"/>
  <c r="B123" i="1" s="1"/>
  <c r="H124" i="1"/>
  <c r="B124" i="1" s="1"/>
  <c r="H125" i="1"/>
  <c r="B125" i="1" s="1"/>
  <c r="H96" i="1"/>
  <c r="B96" i="1" s="1"/>
  <c r="H97" i="1"/>
  <c r="B97" i="1" s="1"/>
  <c r="H98" i="1"/>
  <c r="B98" i="1" s="1"/>
  <c r="H99" i="1"/>
  <c r="B99" i="1" s="1"/>
  <c r="H100" i="1"/>
  <c r="B100" i="1" s="1"/>
  <c r="H101" i="1"/>
  <c r="B101" i="1" s="1"/>
  <c r="H85" i="1"/>
  <c r="B85" i="1" s="1"/>
  <c r="H86" i="1"/>
  <c r="B86" i="1" s="1"/>
  <c r="H87" i="1"/>
  <c r="B87" i="1" s="1"/>
  <c r="H88" i="1"/>
  <c r="B88" i="1" s="1"/>
  <c r="H89" i="1"/>
  <c r="B89" i="1" s="1"/>
  <c r="H90" i="1"/>
  <c r="B90" i="1" s="1"/>
  <c r="H91" i="1"/>
  <c r="B91" i="1" s="1"/>
  <c r="H92" i="1"/>
  <c r="B92" i="1" s="1"/>
  <c r="H93" i="1"/>
  <c r="B93" i="1" s="1"/>
  <c r="H70" i="1"/>
  <c r="B70" i="1" s="1"/>
  <c r="H71" i="1"/>
  <c r="B71" i="1" s="1"/>
  <c r="H72" i="1"/>
  <c r="B72" i="1" s="1"/>
  <c r="H73" i="1"/>
  <c r="B73" i="1" s="1"/>
  <c r="H74" i="1"/>
  <c r="B74" i="1" s="1"/>
  <c r="H75" i="1"/>
  <c r="B75" i="1" s="1"/>
  <c r="H76" i="1"/>
  <c r="B76" i="1" s="1"/>
  <c r="H77" i="1"/>
  <c r="B77" i="1" s="1"/>
  <c r="H78" i="1"/>
  <c r="B78" i="1" s="1"/>
  <c r="H79" i="1"/>
  <c r="B79" i="1" s="1"/>
  <c r="H80" i="1"/>
  <c r="B80" i="1" s="1"/>
  <c r="H81" i="1"/>
  <c r="B81" i="1" s="1"/>
  <c r="H82" i="1"/>
  <c r="B82" i="1" s="1"/>
  <c r="H62" i="1"/>
  <c r="B62" i="1" s="1"/>
  <c r="H63" i="1"/>
  <c r="B63" i="1" s="1"/>
  <c r="H64" i="1"/>
  <c r="B64" i="1" s="1"/>
  <c r="H65" i="1"/>
  <c r="B65" i="1" s="1"/>
  <c r="H66" i="1"/>
  <c r="B66" i="1" s="1"/>
  <c r="H67" i="1"/>
  <c r="B67" i="1" s="1"/>
  <c r="H55" i="1"/>
  <c r="B55" i="1" s="1"/>
  <c r="H56" i="1"/>
  <c r="B56" i="1" s="1"/>
  <c r="H57" i="1"/>
  <c r="B57" i="1" s="1"/>
  <c r="H58" i="1"/>
  <c r="B58" i="1" s="1"/>
  <c r="H59" i="1"/>
  <c r="B59" i="1" s="1"/>
  <c r="H15" i="1"/>
  <c r="B15" i="1" s="1"/>
  <c r="H16" i="1"/>
  <c r="B16" i="1" s="1"/>
  <c r="H17" i="1"/>
  <c r="B17" i="1" s="1"/>
  <c r="H18" i="1"/>
  <c r="B18" i="1" s="1"/>
  <c r="H19" i="1"/>
  <c r="B19" i="1" s="1"/>
  <c r="H20" i="1"/>
  <c r="B20" i="1" s="1"/>
  <c r="H21" i="1"/>
  <c r="B21" i="1" s="1"/>
  <c r="H22" i="1"/>
  <c r="B22" i="1" s="1"/>
  <c r="H23" i="1"/>
  <c r="B23" i="1" s="1"/>
  <c r="H24" i="1"/>
  <c r="B24" i="1" s="1"/>
  <c r="H2" i="1"/>
  <c r="B2" i="1" s="1"/>
  <c r="H3" i="1"/>
  <c r="B3" i="1" s="1"/>
  <c r="H4" i="1"/>
  <c r="B4" i="1" s="1"/>
  <c r="H5" i="1"/>
  <c r="B5" i="1" s="1"/>
  <c r="H6" i="1"/>
  <c r="B6" i="1" s="1"/>
  <c r="H7" i="1"/>
  <c r="B7" i="1" s="1"/>
  <c r="H8" i="1"/>
  <c r="B8" i="1" s="1"/>
  <c r="H9" i="1"/>
  <c r="B9" i="1" s="1"/>
  <c r="H10" i="1"/>
  <c r="B10" i="1" s="1"/>
  <c r="H11" i="1"/>
  <c r="B11" i="1" s="1"/>
  <c r="H12" i="1"/>
  <c r="B12" i="1" s="1"/>
  <c r="Q317" i="4"/>
  <c r="Q200" i="4"/>
  <c r="Q244" i="4"/>
  <c r="Q283" i="4"/>
  <c r="Q335" i="4"/>
  <c r="Q76" i="4"/>
  <c r="Q12" i="4"/>
  <c r="Q251" i="4"/>
  <c r="Q253" i="4"/>
  <c r="Q121" i="4"/>
  <c r="Q185" i="4"/>
  <c r="Q211" i="4"/>
  <c r="Q192" i="4"/>
  <c r="Q215" i="4"/>
  <c r="Q186" i="4"/>
  <c r="Q318" i="4"/>
  <c r="Q91" i="4"/>
  <c r="Q138" i="4"/>
  <c r="Q114" i="4"/>
  <c r="Q316" i="4"/>
  <c r="Q63" i="4"/>
  <c r="Q287" i="4"/>
  <c r="Q263" i="4"/>
  <c r="Q245" i="4"/>
  <c r="Q165" i="4"/>
  <c r="Q19" i="4"/>
  <c r="Q243" i="4"/>
  <c r="Q248" i="4"/>
  <c r="Q96" i="4"/>
  <c r="Q75" i="4"/>
  <c r="Q321" i="4"/>
  <c r="Q11" i="4"/>
  <c r="Q183" i="4"/>
  <c r="Q21" i="4"/>
  <c r="Q86" i="4"/>
  <c r="Q246" i="4"/>
  <c r="Q24" i="4"/>
  <c r="Q345" i="4"/>
  <c r="Q214" i="4"/>
  <c r="Q350" i="4"/>
  <c r="Q95" i="4"/>
  <c r="Q65" i="4"/>
  <c r="Q10" i="4"/>
  <c r="Q62" i="4"/>
  <c r="Q213" i="4"/>
  <c r="Q237" i="4"/>
  <c r="Q9" i="4"/>
  <c r="Q97" i="4"/>
  <c r="Q247" i="4"/>
  <c r="Q71" i="4"/>
  <c r="Q77" i="4"/>
  <c r="Q6" i="4"/>
  <c r="Q210" i="4"/>
  <c r="Q250" i="4"/>
  <c r="Q264" i="4"/>
  <c r="Q160" i="4"/>
  <c r="Q266" i="4"/>
  <c r="Q13" i="4"/>
  <c r="Q202" i="4"/>
  <c r="Q146" i="4"/>
  <c r="Q46" i="4"/>
  <c r="Q159" i="4"/>
  <c r="Q218" i="4"/>
  <c r="Q240" i="4"/>
  <c r="Q61" i="4"/>
  <c r="Q219" i="4"/>
  <c r="Q43" i="4"/>
  <c r="Q44" i="4"/>
  <c r="Q157" i="4"/>
  <c r="Q122" i="4"/>
  <c r="Q66" i="4"/>
  <c r="Q212" i="4"/>
  <c r="Q278" i="4"/>
  <c r="Q306" i="4"/>
  <c r="Q319" i="4"/>
  <c r="Q141" i="4"/>
  <c r="Q156" i="4"/>
  <c r="Q45" i="4"/>
  <c r="Q216" i="4"/>
  <c r="Q229" i="4"/>
  <c r="Q277" i="4"/>
  <c r="Q158" i="4"/>
  <c r="Q305" i="4"/>
  <c r="Q155" i="4"/>
  <c r="Q294" i="4"/>
  <c r="Q52" i="4"/>
  <c r="Q162" i="4"/>
  <c r="Q217" i="4"/>
  <c r="Q42" i="4"/>
</calcChain>
</file>

<file path=xl/sharedStrings.xml><?xml version="1.0" encoding="utf-8"?>
<sst xmlns="http://schemas.openxmlformats.org/spreadsheetml/2006/main" count="8867" uniqueCount="2050">
  <si>
    <t>Place</t>
  </si>
  <si>
    <t>Last</t>
  </si>
  <si>
    <t>First</t>
  </si>
  <si>
    <t>Team</t>
  </si>
  <si>
    <t>Time</t>
  </si>
  <si>
    <t>Category</t>
  </si>
  <si>
    <t>Tanjutco</t>
  </si>
  <si>
    <t>Fred</t>
  </si>
  <si>
    <t>Pro Pedals Bike Shop</t>
  </si>
  <si>
    <t>Cat 4/5</t>
  </si>
  <si>
    <t>Panhorst</t>
  </si>
  <si>
    <t>Eric</t>
  </si>
  <si>
    <t>Guy's Racing Club</t>
  </si>
  <si>
    <t>Iachetta</t>
  </si>
  <si>
    <t>Daniel</t>
  </si>
  <si>
    <t>Beachwood Bicycles</t>
  </si>
  <si>
    <t>Lamb</t>
  </si>
  <si>
    <t>Jeff</t>
  </si>
  <si>
    <t>Team ProPower/Cycle Solutions</t>
  </si>
  <si>
    <t>Cavanaugh</t>
  </si>
  <si>
    <t>Steven</t>
  </si>
  <si>
    <t>Team SOS</t>
  </si>
  <si>
    <t>Argueta</t>
  </si>
  <si>
    <t>John</t>
  </si>
  <si>
    <t>Rick</t>
  </si>
  <si>
    <t>Pachman</t>
  </si>
  <si>
    <t>Wang</t>
  </si>
  <si>
    <t>Tom</t>
  </si>
  <si>
    <t>Blaine</t>
  </si>
  <si>
    <t>Desimone</t>
  </si>
  <si>
    <t>David</t>
  </si>
  <si>
    <t>Paramount Multisport</t>
  </si>
  <si>
    <t>Elmore</t>
  </si>
  <si>
    <t>Kevin</t>
  </si>
  <si>
    <t>Redlined Racing</t>
  </si>
  <si>
    <t>Rinderer</t>
  </si>
  <si>
    <t>Von Knorring</t>
  </si>
  <si>
    <t>Alex</t>
  </si>
  <si>
    <t>Watts Up Cycling</t>
  </si>
  <si>
    <t>Women Cat 4/5</t>
  </si>
  <si>
    <t>Barth</t>
  </si>
  <si>
    <t>Austin</t>
  </si>
  <si>
    <t>Franco</t>
  </si>
  <si>
    <t>Julia</t>
  </si>
  <si>
    <t>Liberty Cycle</t>
  </si>
  <si>
    <t>Goranson</t>
  </si>
  <si>
    <t>Barbara</t>
  </si>
  <si>
    <t>BCM</t>
  </si>
  <si>
    <t>Diane</t>
  </si>
  <si>
    <t>Team EPS/M3 p/b Brielle Cyclery</t>
  </si>
  <si>
    <t>16:06.24</t>
  </si>
  <si>
    <t>16:06.77</t>
  </si>
  <si>
    <t>16:58.80</t>
  </si>
  <si>
    <t>17:48.10</t>
  </si>
  <si>
    <t>18:20.23</t>
  </si>
  <si>
    <t>18:43.87</t>
  </si>
  <si>
    <t>19:39.39</t>
  </si>
  <si>
    <t>19:52.76</t>
  </si>
  <si>
    <t>20:27.25</t>
  </si>
  <si>
    <t>20:33.10</t>
  </si>
  <si>
    <t>21:41.45</t>
  </si>
  <si>
    <t>18:33.89</t>
  </si>
  <si>
    <t>19:23.45</t>
  </si>
  <si>
    <t>19:28.96</t>
  </si>
  <si>
    <t>20:38.36</t>
  </si>
  <si>
    <t>20:42.08</t>
  </si>
  <si>
    <t>Hover</t>
  </si>
  <si>
    <t>Cheryl</t>
  </si>
  <si>
    <t>21:06.36</t>
  </si>
  <si>
    <t>Lee</t>
  </si>
  <si>
    <t>Allison</t>
  </si>
  <si>
    <t>21:54.96</t>
  </si>
  <si>
    <t>Column1</t>
  </si>
  <si>
    <t>Points</t>
  </si>
  <si>
    <t>Ventura</t>
  </si>
  <si>
    <t>Donna</t>
  </si>
  <si>
    <t>22:24.19</t>
  </si>
  <si>
    <t>Anker</t>
  </si>
  <si>
    <t>Marilyn</t>
  </si>
  <si>
    <t>22:46.70</t>
  </si>
  <si>
    <t>Davis</t>
  </si>
  <si>
    <t>Ellen</t>
  </si>
  <si>
    <t>CRCA/Edge Racing</t>
  </si>
  <si>
    <t>24:48.45</t>
  </si>
  <si>
    <t>Muller</t>
  </si>
  <si>
    <t>Ian</t>
  </si>
  <si>
    <t>Junior Men 9-12</t>
  </si>
  <si>
    <t>Zackery</t>
  </si>
  <si>
    <t>Crank Addicts p/b Hilltop</t>
  </si>
  <si>
    <t>Byrne</t>
  </si>
  <si>
    <t>Thomas</t>
  </si>
  <si>
    <t>BYRNE Racing LLC</t>
  </si>
  <si>
    <t>Luke</t>
  </si>
  <si>
    <t>Vanteyens</t>
  </si>
  <si>
    <t>Donnelly</t>
  </si>
  <si>
    <t>Lukas</t>
  </si>
  <si>
    <t>Callan</t>
  </si>
  <si>
    <t>Highland Park Hermes p/b Kim's</t>
  </si>
  <si>
    <t>Villani</t>
  </si>
  <si>
    <t>Frank</t>
  </si>
  <si>
    <t>Team Somerset</t>
  </si>
  <si>
    <t>Junior Men 13-14</t>
  </si>
  <si>
    <t>Redmond</t>
  </si>
  <si>
    <t>Harrison</t>
  </si>
  <si>
    <t>Jerris</t>
  </si>
  <si>
    <t>Benjamin</t>
  </si>
  <si>
    <t>Downs</t>
  </si>
  <si>
    <t>Timmy</t>
  </si>
  <si>
    <t>Dover Downs Racing</t>
  </si>
  <si>
    <t>Junior Men 15-16</t>
  </si>
  <si>
    <t>Bunting</t>
  </si>
  <si>
    <t>Noah</t>
  </si>
  <si>
    <t>Junior Men 17-18</t>
  </si>
  <si>
    <t>Melville</t>
  </si>
  <si>
    <t>Andrew</t>
  </si>
  <si>
    <t>Duffy</t>
  </si>
  <si>
    <t>Aidan</t>
  </si>
  <si>
    <t>Tsapatsaris</t>
  </si>
  <si>
    <t>Michaela</t>
  </si>
  <si>
    <t>Junior Women 9-14</t>
  </si>
  <si>
    <t>Katharine</t>
  </si>
  <si>
    <t>Junior Women 15-18</t>
  </si>
  <si>
    <t>Danielewicz</t>
  </si>
  <si>
    <t>Greg</t>
  </si>
  <si>
    <t>Masters Men 45+</t>
  </si>
  <si>
    <t>Carolan</t>
  </si>
  <si>
    <t>Rich</t>
  </si>
  <si>
    <t>Antonelli</t>
  </si>
  <si>
    <t>Dan</t>
  </si>
  <si>
    <t>KickCharge Creative</t>
  </si>
  <si>
    <t>Lees</t>
  </si>
  <si>
    <t>Farrell</t>
  </si>
  <si>
    <t>Chris</t>
  </si>
  <si>
    <t>Roush Fenway</t>
  </si>
  <si>
    <t>Rica</t>
  </si>
  <si>
    <t>Masters Men 50+</t>
  </si>
  <si>
    <t>Warmuth</t>
  </si>
  <si>
    <t>Ralf</t>
  </si>
  <si>
    <t>Team SRG</t>
  </si>
  <si>
    <t>Nicholas</t>
  </si>
  <si>
    <t>ORIGIN Performance</t>
  </si>
  <si>
    <t>25:58.13</t>
  </si>
  <si>
    <t>27:55.67</t>
  </si>
  <si>
    <t>28:23.76</t>
  </si>
  <si>
    <t>29:11.74</t>
  </si>
  <si>
    <t>30:24.72</t>
  </si>
  <si>
    <t>33:04.96</t>
  </si>
  <si>
    <t>25:11.73</t>
  </si>
  <si>
    <t>26:06.79</t>
  </si>
  <si>
    <t>27:10.76</t>
  </si>
  <si>
    <t>18:36.68</t>
  </si>
  <si>
    <t>21:33.44</t>
  </si>
  <si>
    <t>18:40.23</t>
  </si>
  <si>
    <t>18:48.11</t>
  </si>
  <si>
    <t>20:11.92</t>
  </si>
  <si>
    <t>25:25.86</t>
  </si>
  <si>
    <t>28:02.36</t>
  </si>
  <si>
    <t>16:58.64</t>
  </si>
  <si>
    <t>17:19.92</t>
  </si>
  <si>
    <t>17:49.14</t>
  </si>
  <si>
    <t>23:04.63</t>
  </si>
  <si>
    <t>23:31.64</t>
  </si>
  <si>
    <t>16:20.96</t>
  </si>
  <si>
    <t>16:29.12</t>
  </si>
  <si>
    <t>17:35.13</t>
  </si>
  <si>
    <t>Piccone</t>
  </si>
  <si>
    <t>Nick</t>
  </si>
  <si>
    <t>Caffeinated Cyclist Racing</t>
  </si>
  <si>
    <t>17:56.21</t>
  </si>
  <si>
    <t>Ditullio</t>
  </si>
  <si>
    <t>T.J.</t>
  </si>
  <si>
    <t>Action Wheels</t>
  </si>
  <si>
    <t>20:32.03</t>
  </si>
  <si>
    <t>Leahy</t>
  </si>
  <si>
    <t>Michael</t>
  </si>
  <si>
    <t>20:43.68</t>
  </si>
  <si>
    <t>Doug</t>
  </si>
  <si>
    <t>16:38.05</t>
  </si>
  <si>
    <t>Masters Men 55+</t>
  </si>
  <si>
    <t>Anderson</t>
  </si>
  <si>
    <t>16:50.65</t>
  </si>
  <si>
    <t>Dawson</t>
  </si>
  <si>
    <t>17:01.21</t>
  </si>
  <si>
    <t>Crocco</t>
  </si>
  <si>
    <t>Chuck</t>
  </si>
  <si>
    <t>17:01.76</t>
  </si>
  <si>
    <t>Allen</t>
  </si>
  <si>
    <t>Clay</t>
  </si>
  <si>
    <t>17:05.69</t>
  </si>
  <si>
    <t>Royo</t>
  </si>
  <si>
    <t>Juantxo</t>
  </si>
  <si>
    <t>Finkraft Cycling Team</t>
  </si>
  <si>
    <t>17:11.20</t>
  </si>
  <si>
    <t>Maxted</t>
  </si>
  <si>
    <t>Robert</t>
  </si>
  <si>
    <t>17:24.59</t>
  </si>
  <si>
    <t>Marion</t>
  </si>
  <si>
    <t>17:58.24</t>
  </si>
  <si>
    <t>Telson</t>
  </si>
  <si>
    <t>Dean</t>
  </si>
  <si>
    <t>Long Branch Peddler Racing</t>
  </si>
  <si>
    <t>17:58.54</t>
  </si>
  <si>
    <t>King</t>
  </si>
  <si>
    <t>CRCA/Aska</t>
  </si>
  <si>
    <t>18:14.23</t>
  </si>
  <si>
    <t>Newnam</t>
  </si>
  <si>
    <t>Thaddeus</t>
  </si>
  <si>
    <t>PA Masters</t>
  </si>
  <si>
    <t>18:25.39</t>
  </si>
  <si>
    <t>Jones</t>
  </si>
  <si>
    <t>HPC Cycling</t>
  </si>
  <si>
    <t>18:32.55</t>
  </si>
  <si>
    <t>Christophe</t>
  </si>
  <si>
    <t>25:37.26</t>
  </si>
  <si>
    <t>Fallon</t>
  </si>
  <si>
    <t>Dana</t>
  </si>
  <si>
    <t>16:59.90</t>
  </si>
  <si>
    <t>Masters Men 60+</t>
  </si>
  <si>
    <t>Buchanan</t>
  </si>
  <si>
    <t>17:21.85</t>
  </si>
  <si>
    <t>Saxon</t>
  </si>
  <si>
    <t>Timothy</t>
  </si>
  <si>
    <t>Skylands Cycling</t>
  </si>
  <si>
    <t>17:28.02</t>
  </si>
  <si>
    <t>Wolf</t>
  </si>
  <si>
    <t>Richard</t>
  </si>
  <si>
    <t>CRCA/Foundation</t>
  </si>
  <si>
    <t>17:43.18</t>
  </si>
  <si>
    <t>Boub</t>
  </si>
  <si>
    <t>Jon</t>
  </si>
  <si>
    <t>Montclair Bikery Racing</t>
  </si>
  <si>
    <t>18:37.34</t>
  </si>
  <si>
    <t>Quinn</t>
  </si>
  <si>
    <t>Peter</t>
  </si>
  <si>
    <t>DSB Cycling</t>
  </si>
  <si>
    <t>19:12.49</t>
  </si>
  <si>
    <t>Rocco</t>
  </si>
  <si>
    <t>Benedict</t>
  </si>
  <si>
    <t>PSRacing/BTB</t>
  </si>
  <si>
    <t>19:42.80</t>
  </si>
  <si>
    <t>Perkins</t>
  </si>
  <si>
    <t>Westwood Velo</t>
  </si>
  <si>
    <t>19:57.35</t>
  </si>
  <si>
    <t>Barnes</t>
  </si>
  <si>
    <t>Steve</t>
  </si>
  <si>
    <t>23:45.34</t>
  </si>
  <si>
    <t>Petouvis</t>
  </si>
  <si>
    <t>17:19.87</t>
  </si>
  <si>
    <t>Masters Men 65+</t>
  </si>
  <si>
    <t>Kaeli</t>
  </si>
  <si>
    <t>Jim</t>
  </si>
  <si>
    <t>Colavita Racing</t>
  </si>
  <si>
    <t>18:01.73</t>
  </si>
  <si>
    <t>Jeremy</t>
  </si>
  <si>
    <t>GS Park Ridge</t>
  </si>
  <si>
    <t>18:57.39</t>
  </si>
  <si>
    <t>Schiavo</t>
  </si>
  <si>
    <t>Joseph</t>
  </si>
  <si>
    <t>19:58.77</t>
  </si>
  <si>
    <t>Pflug</t>
  </si>
  <si>
    <t>Leo</t>
  </si>
  <si>
    <t>22:15.83</t>
  </si>
  <si>
    <t>Grayce</t>
  </si>
  <si>
    <t>Gerry</t>
  </si>
  <si>
    <t>23:24.81</t>
  </si>
  <si>
    <t>Vellucci</t>
  </si>
  <si>
    <t>Leonard</t>
  </si>
  <si>
    <t>Team B3 Cycling</t>
  </si>
  <si>
    <t>17:06.90</t>
  </si>
  <si>
    <t>Men Non-TT Cat 5</t>
  </si>
  <si>
    <t>Perez</t>
  </si>
  <si>
    <t>Union Fools</t>
  </si>
  <si>
    <t>17:25.36</t>
  </si>
  <si>
    <t>Miller</t>
  </si>
  <si>
    <t>Mike</t>
  </si>
  <si>
    <t>FIF Cycling</t>
  </si>
  <si>
    <t>17:46.97</t>
  </si>
  <si>
    <t>Tillman</t>
  </si>
  <si>
    <t>Joe</t>
  </si>
  <si>
    <t>17:50.35</t>
  </si>
  <si>
    <t>Guerrieri</t>
  </si>
  <si>
    <t>James</t>
  </si>
  <si>
    <t>18:12.87</t>
  </si>
  <si>
    <t>Mania</t>
  </si>
  <si>
    <t>Philip</t>
  </si>
  <si>
    <t>18:18.47</t>
  </si>
  <si>
    <t>Hamilton</t>
  </si>
  <si>
    <t>Harry</t>
  </si>
  <si>
    <t>18:19.94</t>
  </si>
  <si>
    <t>Dilaurenzio</t>
  </si>
  <si>
    <t>Paniagua Cycling</t>
  </si>
  <si>
    <t>18:21.10</t>
  </si>
  <si>
    <t>Beebe</t>
  </si>
  <si>
    <t>Wilson</t>
  </si>
  <si>
    <t>18:47.26</t>
  </si>
  <si>
    <t>Chaya</t>
  </si>
  <si>
    <t>19:01.98</t>
  </si>
  <si>
    <t>Southwood</t>
  </si>
  <si>
    <t>Daryl</t>
  </si>
  <si>
    <t>Burning Wood Cycling Club</t>
  </si>
  <si>
    <t>19:05.38</t>
  </si>
  <si>
    <t>Debruin</t>
  </si>
  <si>
    <t>19:19.96</t>
  </si>
  <si>
    <t>Eraso</t>
  </si>
  <si>
    <t>Alvaro</t>
  </si>
  <si>
    <t>19:20.79</t>
  </si>
  <si>
    <t>Mugno</t>
  </si>
  <si>
    <t>Shrewsbury Bicycles</t>
  </si>
  <si>
    <t>19:41.60</t>
  </si>
  <si>
    <t>Geiser</t>
  </si>
  <si>
    <t>Christopher</t>
  </si>
  <si>
    <t>19:50.39</t>
  </si>
  <si>
    <t>Laudor</t>
  </si>
  <si>
    <t>Team Marty's</t>
  </si>
  <si>
    <t>19:52.01</t>
  </si>
  <si>
    <t>Scully</t>
  </si>
  <si>
    <t>20:20.59</t>
  </si>
  <si>
    <t>Brenn</t>
  </si>
  <si>
    <t>William</t>
  </si>
  <si>
    <t>20:22.43</t>
  </si>
  <si>
    <t>Santangelo</t>
  </si>
  <si>
    <t>Dennis</t>
  </si>
  <si>
    <t>20:42.95</t>
  </si>
  <si>
    <t>McDonough</t>
  </si>
  <si>
    <t>Colin</t>
  </si>
  <si>
    <t>21:05.39</t>
  </si>
  <si>
    <t>23:34.75</t>
  </si>
  <si>
    <t>Vasfailo</t>
  </si>
  <si>
    <t>26:17.60</t>
  </si>
  <si>
    <t>Sonn</t>
  </si>
  <si>
    <t>Patricia</t>
  </si>
  <si>
    <t>Women Non-TT Cat 5</t>
  </si>
  <si>
    <t>Masterson</t>
  </si>
  <si>
    <t>Denise</t>
  </si>
  <si>
    <t>20:39.44</t>
  </si>
  <si>
    <t>Dixson</t>
  </si>
  <si>
    <t>Deanne</t>
  </si>
  <si>
    <t>20:51.12</t>
  </si>
  <si>
    <t>Hartwell</t>
  </si>
  <si>
    <t>Suzanne</t>
  </si>
  <si>
    <t>21:13.82</t>
  </si>
  <si>
    <t>Kristine</t>
  </si>
  <si>
    <t>21:25.04</t>
  </si>
  <si>
    <t>Bridgman</t>
  </si>
  <si>
    <t>Doreen</t>
  </si>
  <si>
    <t>VR2209</t>
  </si>
  <si>
    <t>21:55.66</t>
  </si>
  <si>
    <t>Zarzuela</t>
  </si>
  <si>
    <t>Jenny</t>
  </si>
  <si>
    <t>CRCA/GFNY Racing Team</t>
  </si>
  <si>
    <t>22:15.04</t>
  </si>
  <si>
    <t>Clark</t>
  </si>
  <si>
    <t>Karen</t>
  </si>
  <si>
    <t>23:41.38</t>
  </si>
  <si>
    <t>Hardy</t>
  </si>
  <si>
    <t>24:58.34</t>
  </si>
  <si>
    <t>Allan</t>
  </si>
  <si>
    <t>Sally</t>
  </si>
  <si>
    <t>25:41.08</t>
  </si>
  <si>
    <t>Norling</t>
  </si>
  <si>
    <t>Brian</t>
  </si>
  <si>
    <t>Shore Cycling Sports</t>
  </si>
  <si>
    <t>16:41.24</t>
  </si>
  <si>
    <t>Men Non-TT Open</t>
  </si>
  <si>
    <t>17:40.38</t>
  </si>
  <si>
    <t>Bottoms</t>
  </si>
  <si>
    <t>PJ</t>
  </si>
  <si>
    <t>17:41.84</t>
  </si>
  <si>
    <t>Charlie</t>
  </si>
  <si>
    <t>17:45.99</t>
  </si>
  <si>
    <t>Griffin</t>
  </si>
  <si>
    <t>18:10.90</t>
  </si>
  <si>
    <t>Emde</t>
  </si>
  <si>
    <t>18:44.85</t>
  </si>
  <si>
    <t>McLaughlin</t>
  </si>
  <si>
    <t>Bill</t>
  </si>
  <si>
    <t>Somerset Wheelmen/Peaks Coaching</t>
  </si>
  <si>
    <t>18:51.02</t>
  </si>
  <si>
    <t>Shelanskey</t>
  </si>
  <si>
    <t>19:14.56</t>
  </si>
  <si>
    <t>Williams</t>
  </si>
  <si>
    <t>19:38.96</t>
  </si>
  <si>
    <t>Sweeney</t>
  </si>
  <si>
    <t>Scott</t>
  </si>
  <si>
    <t>19:43.51</t>
  </si>
  <si>
    <t>Dolan</t>
  </si>
  <si>
    <t>Donald</t>
  </si>
  <si>
    <t>20:28.59</t>
  </si>
  <si>
    <t>Brown</t>
  </si>
  <si>
    <t>CRCA</t>
  </si>
  <si>
    <t>20:35.56</t>
  </si>
  <si>
    <t>Camejo</t>
  </si>
  <si>
    <t>Gerant</t>
  </si>
  <si>
    <t>20:57.70</t>
  </si>
  <si>
    <t>Keith</t>
  </si>
  <si>
    <t>23:27.32</t>
  </si>
  <si>
    <t>Mellies</t>
  </si>
  <si>
    <t>Sarah</t>
  </si>
  <si>
    <t>19:37.18</t>
  </si>
  <si>
    <t>Women Non-TT Open</t>
  </si>
  <si>
    <t>Cone</t>
  </si>
  <si>
    <t>Christina</t>
  </si>
  <si>
    <t>21:05.29</t>
  </si>
  <si>
    <t>39:25.81</t>
  </si>
  <si>
    <t>15:16.09</t>
  </si>
  <si>
    <t>Senior Men</t>
  </si>
  <si>
    <t>Carr</t>
  </si>
  <si>
    <t>CRCA/e2Value p/b Verge Sport</t>
  </si>
  <si>
    <t>15:22.44</t>
  </si>
  <si>
    <t>Lavigne</t>
  </si>
  <si>
    <t>15:22.48</t>
  </si>
  <si>
    <t>Hanna</t>
  </si>
  <si>
    <t>Toby</t>
  </si>
  <si>
    <t>Knapp's Cyclery Racing p/b Enduroworx</t>
  </si>
  <si>
    <t>15:29.45</t>
  </si>
  <si>
    <t>Sedlak</t>
  </si>
  <si>
    <t>16:01.13</t>
  </si>
  <si>
    <t>Gardner</t>
  </si>
  <si>
    <t>TorcUP Cycling</t>
  </si>
  <si>
    <t>16:17.57</t>
  </si>
  <si>
    <t>Doyal</t>
  </si>
  <si>
    <t>Matthew</t>
  </si>
  <si>
    <t>Rothman Institute p/b Talksoft</t>
  </si>
  <si>
    <t>17:43.65</t>
  </si>
  <si>
    <t>Amanda</t>
  </si>
  <si>
    <t>17:37.94</t>
  </si>
  <si>
    <t>Senior Women</t>
  </si>
  <si>
    <t>Tormey</t>
  </si>
  <si>
    <t>Kate</t>
  </si>
  <si>
    <t>18:33.79</t>
  </si>
  <si>
    <t>Tyrell</t>
  </si>
  <si>
    <t>Elizabeth</t>
  </si>
  <si>
    <t>19:16.59</t>
  </si>
  <si>
    <t>Central Jersey Cycling Team</t>
  </si>
  <si>
    <t>Jaeger Wheelmen</t>
  </si>
  <si>
    <t>Knapps Cyclery Racing P/B Enduroworx</t>
  </si>
  <si>
    <t>NJCX Project</t>
  </si>
  <si>
    <t>Team B3 Cycling - Bike Blade &amp; Ball</t>
  </si>
  <si>
    <t>van dessel factory team</t>
  </si>
  <si>
    <t>ARACENA works</t>
  </si>
  <si>
    <t>Brauer / Mick mgmt.</t>
  </si>
  <si>
    <t>Brielle Cyclery Club Team</t>
  </si>
  <si>
    <t>Cycles 54 Cycling Team</t>
  </si>
  <si>
    <t>Dahanger</t>
  </si>
  <si>
    <t>Direct Contract Packaging Cycling Team</t>
  </si>
  <si>
    <t>Flanders</t>
  </si>
  <si>
    <t>Honey Stinger Hive</t>
  </si>
  <si>
    <t>Karma Racing Team</t>
  </si>
  <si>
    <t>Mineola Bicycle Racing Team</t>
  </si>
  <si>
    <t>Morris Velo Sports</t>
  </si>
  <si>
    <t>Polish &amp; Slavic FCU International Cycling Team</t>
  </si>
  <si>
    <t>QCW Cycling p.b. Breakawaybikes.com</t>
  </si>
  <si>
    <t>Somerville Bicycle Shop</t>
  </si>
  <si>
    <t>Team Metra / Xrcel / Cycles 54</t>
  </si>
  <si>
    <t>TorcUp Cycling</t>
  </si>
  <si>
    <t>Watchung Wheelmen</t>
  </si>
  <si>
    <t>MAMBO Kings Racing</t>
  </si>
  <si>
    <t>Team Name</t>
  </si>
  <si>
    <t>Valid</t>
  </si>
  <si>
    <t>Knapp's Cyclery Racing P/B Enduroworx</t>
  </si>
  <si>
    <t>Overall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</si>
  <si>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</si>
  <si>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</si>
  <si>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</si>
  <si>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</si>
  <si>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</si>
  <si>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</si>
  <si>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</si>
  <si>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</si>
  <si>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</si>
  <si>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</si>
  <si>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</si>
  <si>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</si>
  <si>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Men Cat 4/5</t>
  </si>
  <si>
    <t>Number</t>
  </si>
  <si>
    <t>Race</t>
  </si>
  <si>
    <t>Date</t>
  </si>
  <si>
    <t>3/31/2018</t>
  </si>
  <si>
    <t>Sandy Hook</t>
  </si>
  <si>
    <t>4/8/2018</t>
  </si>
  <si>
    <t>Cape May</t>
  </si>
  <si>
    <t>Allamuchy</t>
  </si>
  <si>
    <t>4/14/2018</t>
  </si>
  <si>
    <t>4/28/2018</t>
  </si>
  <si>
    <t>High Point Hill Climb</t>
  </si>
  <si>
    <t>5/5/2018</t>
  </si>
  <si>
    <t>Somerset Circuit</t>
  </si>
  <si>
    <t>5/19/2018</t>
  </si>
  <si>
    <t>Oldman's</t>
  </si>
  <si>
    <t>5/26/2018</t>
  </si>
  <si>
    <t>Kingwood</t>
  </si>
  <si>
    <t>6/23/2018</t>
  </si>
  <si>
    <t>Upper Freehold</t>
  </si>
  <si>
    <t>7/1/2018</t>
  </si>
  <si>
    <t>Chatsworth - State Championship</t>
  </si>
  <si>
    <t>7/15/2018</t>
  </si>
  <si>
    <t>Honoring Sandrino's Sacrifice</t>
  </si>
  <si>
    <t>8/11/2018</t>
  </si>
  <si>
    <t>8/25/2018</t>
  </si>
  <si>
    <t>Silvermine</t>
  </si>
  <si>
    <t>Cup</t>
  </si>
  <si>
    <t>2018 NJ Time Trial Cup Series</t>
  </si>
  <si>
    <t>Presented by Castelli</t>
  </si>
  <si>
    <t>Action Wheels Bike Shop</t>
  </si>
  <si>
    <t>Colavita-Whole Foods Market Race Team</t>
  </si>
  <si>
    <t>GS - De Rosa |Gavia Cycling</t>
  </si>
  <si>
    <t>Team Hb Hilltop</t>
  </si>
  <si>
    <t>Andy Philips</t>
  </si>
  <si>
    <t>16:20</t>
  </si>
  <si>
    <t>16:35</t>
  </si>
  <si>
    <t>Kitchen</t>
  </si>
  <si>
    <t>Jason</t>
  </si>
  <si>
    <t>17:11</t>
  </si>
  <si>
    <t>Bleakley</t>
  </si>
  <si>
    <t>17:22</t>
  </si>
  <si>
    <t>Adams</t>
  </si>
  <si>
    <t>Frederick</t>
  </si>
  <si>
    <t>No Limits Endurance Coaching</t>
  </si>
  <si>
    <t>17:23</t>
  </si>
  <si>
    <t>Moon</t>
  </si>
  <si>
    <t>Millersburg Velo Club</t>
  </si>
  <si>
    <t>17:42</t>
  </si>
  <si>
    <t>18:03</t>
  </si>
  <si>
    <t>Paelaez</t>
  </si>
  <si>
    <t>Santiago</t>
  </si>
  <si>
    <t>18:06</t>
  </si>
  <si>
    <t>Kraft</t>
  </si>
  <si>
    <t>Shelton</t>
  </si>
  <si>
    <t>19:17</t>
  </si>
  <si>
    <t>Tibbits</t>
  </si>
  <si>
    <t>Team DRB</t>
  </si>
  <si>
    <t>19:42</t>
  </si>
  <si>
    <t>Kiernan</t>
  </si>
  <si>
    <t>Benidorm Bikes/Eastern Block C.C.</t>
  </si>
  <si>
    <t>19:43</t>
  </si>
  <si>
    <t>Schweidler</t>
  </si>
  <si>
    <t>Olaf</t>
  </si>
  <si>
    <t>Turks Head Racing</t>
  </si>
  <si>
    <t>19:48</t>
  </si>
  <si>
    <t>20:33</t>
  </si>
  <si>
    <t>21:23</t>
  </si>
  <si>
    <t>Richmond</t>
  </si>
  <si>
    <t>22:26</t>
  </si>
  <si>
    <t>23:24</t>
  </si>
  <si>
    <t>Laricks</t>
  </si>
  <si>
    <t>Dustin</t>
  </si>
  <si>
    <t>25:11</t>
  </si>
  <si>
    <t>Edward</t>
  </si>
  <si>
    <t>29:21</t>
  </si>
  <si>
    <t>19:22</t>
  </si>
  <si>
    <t>Phillips</t>
  </si>
  <si>
    <t>Katie</t>
  </si>
  <si>
    <t>Bridge Velo</t>
  </si>
  <si>
    <t>21:27</t>
  </si>
  <si>
    <t>21:34</t>
  </si>
  <si>
    <t>21:45</t>
  </si>
  <si>
    <t>Cook</t>
  </si>
  <si>
    <t>Jaymi</t>
  </si>
  <si>
    <t>21:48</t>
  </si>
  <si>
    <t>Lesico</t>
  </si>
  <si>
    <t>Shanna</t>
  </si>
  <si>
    <t>Active Yards-Chester County Velo</t>
  </si>
  <si>
    <t>21:52</t>
  </si>
  <si>
    <t>Withington</t>
  </si>
  <si>
    <t>28:34</t>
  </si>
  <si>
    <t>32:05</t>
  </si>
  <si>
    <t>28:38</t>
  </si>
  <si>
    <t>20:34</t>
  </si>
  <si>
    <t>RACE CF | racecf.org</t>
  </si>
  <si>
    <t>17:30</t>
  </si>
  <si>
    <t>19:16</t>
  </si>
  <si>
    <t>20:08</t>
  </si>
  <si>
    <t>26:45</t>
  </si>
  <si>
    <t>Tibbets</t>
  </si>
  <si>
    <t>Emily</t>
  </si>
  <si>
    <t>36:29</t>
  </si>
  <si>
    <t>29:39</t>
  </si>
  <si>
    <t>Kaplan</t>
  </si>
  <si>
    <t>16:52</t>
  </si>
  <si>
    <t>17:51</t>
  </si>
  <si>
    <t>Heuerman</t>
  </si>
  <si>
    <t>BSBA Racing</t>
  </si>
  <si>
    <t>18:07</t>
  </si>
  <si>
    <t>16:49</t>
  </si>
  <si>
    <t>Kimos</t>
  </si>
  <si>
    <t>Stephen</t>
  </si>
  <si>
    <t>17:12</t>
  </si>
  <si>
    <t>18:20</t>
  </si>
  <si>
    <t>18:47</t>
  </si>
  <si>
    <t>17:16</t>
  </si>
  <si>
    <t>17:24</t>
  </si>
  <si>
    <t>17:43</t>
  </si>
  <si>
    <t>18:01</t>
  </si>
  <si>
    <t>18:05</t>
  </si>
  <si>
    <t>Cowin</t>
  </si>
  <si>
    <t>Mark</t>
  </si>
  <si>
    <t>18:23</t>
  </si>
  <si>
    <t>19:01</t>
  </si>
  <si>
    <t>Davala</t>
  </si>
  <si>
    <t>Drew</t>
  </si>
  <si>
    <t>19:06</t>
  </si>
  <si>
    <t>Andy</t>
  </si>
  <si>
    <t>19:09</t>
  </si>
  <si>
    <t>Morris</t>
  </si>
  <si>
    <t>21:10</t>
  </si>
  <si>
    <t>28:58</t>
  </si>
  <si>
    <t>17:20</t>
  </si>
  <si>
    <t>18:02</t>
  </si>
  <si>
    <t>18:04</t>
  </si>
  <si>
    <t>Jaggard</t>
  </si>
  <si>
    <t>18:34</t>
  </si>
  <si>
    <t>19:39</t>
  </si>
  <si>
    <t>21:21</t>
  </si>
  <si>
    <t>Martin</t>
  </si>
  <si>
    <t>22:54</t>
  </si>
  <si>
    <t>24:33</t>
  </si>
  <si>
    <t>18:15</t>
  </si>
  <si>
    <t>Colavita - Whole Foods Market Race Team</t>
  </si>
  <si>
    <t>19:26</t>
  </si>
  <si>
    <t>20:00</t>
  </si>
  <si>
    <t>21:40</t>
  </si>
  <si>
    <t>Jerry</t>
  </si>
  <si>
    <t>1:06:47</t>
  </si>
  <si>
    <t>17:46</t>
  </si>
  <si>
    <t>18:58</t>
  </si>
  <si>
    <t>DiLaurenzio</t>
  </si>
  <si>
    <t>19:10</t>
  </si>
  <si>
    <t>Hall</t>
  </si>
  <si>
    <t>19:59</t>
  </si>
  <si>
    <t>21:58</t>
  </si>
  <si>
    <t>Cross</t>
  </si>
  <si>
    <t>22:17</t>
  </si>
  <si>
    <t>21:53</t>
  </si>
  <si>
    <t>23:13</t>
  </si>
  <si>
    <t>23:22</t>
  </si>
  <si>
    <t>Barto</t>
  </si>
  <si>
    <t>Megan</t>
  </si>
  <si>
    <t>Team RWB</t>
  </si>
  <si>
    <t>24:23</t>
  </si>
  <si>
    <t>Magyarits</t>
  </si>
  <si>
    <t>Michele</t>
  </si>
  <si>
    <t>25:55</t>
  </si>
  <si>
    <t>25:44</t>
  </si>
  <si>
    <t>26:50</t>
  </si>
  <si>
    <t>52:25</t>
  </si>
  <si>
    <t>Larson</t>
  </si>
  <si>
    <t>Ryan</t>
  </si>
  <si>
    <t>17:56</t>
  </si>
  <si>
    <t>18:33</t>
  </si>
  <si>
    <t>Flaherty</t>
  </si>
  <si>
    <t>18:45</t>
  </si>
  <si>
    <t>19:18</t>
  </si>
  <si>
    <t>Bernstein</t>
  </si>
  <si>
    <t>Mambo Kings Racing/D&amp;Q</t>
  </si>
  <si>
    <t>20:04</t>
  </si>
  <si>
    <t>20:27</t>
  </si>
  <si>
    <t>20:38</t>
  </si>
  <si>
    <t>Marriner</t>
  </si>
  <si>
    <t>21:00</t>
  </si>
  <si>
    <t>20:40</t>
  </si>
  <si>
    <t>21:46</t>
  </si>
  <si>
    <t>C Elizabeth</t>
  </si>
  <si>
    <t>Long</t>
  </si>
  <si>
    <t>CRCA/NYCC Racing p/b BGC Partners</t>
  </si>
  <si>
    <t>22:34</t>
  </si>
  <si>
    <t>Lisa</t>
  </si>
  <si>
    <t>24:15</t>
  </si>
  <si>
    <t>27:06</t>
  </si>
  <si>
    <t>15:50</t>
  </si>
  <si>
    <t>Armstrong</t>
  </si>
  <si>
    <t>Gregory</t>
  </si>
  <si>
    <t>16:45</t>
  </si>
  <si>
    <t>Guzman</t>
  </si>
  <si>
    <t>Alejandro</t>
  </si>
  <si>
    <t>17:07</t>
  </si>
  <si>
    <t>Rodriguez</t>
  </si>
  <si>
    <t>Diego</t>
  </si>
  <si>
    <t>18:11</t>
  </si>
  <si>
    <t>Lao</t>
  </si>
  <si>
    <t>Voodoo Racing</t>
  </si>
  <si>
    <t>Shannon</t>
  </si>
  <si>
    <t>JL Velo Ambassadors</t>
  </si>
  <si>
    <t>17:50</t>
  </si>
  <si>
    <t>18:09</t>
  </si>
  <si>
    <t>Taylor</t>
  </si>
  <si>
    <t>18:30</t>
  </si>
  <si>
    <t>18:46</t>
  </si>
  <si>
    <t>20:01</t>
  </si>
  <si>
    <t>Chrisopher</t>
  </si>
  <si>
    <t>GS - De Rosa | Gavia Cycling</t>
  </si>
  <si>
    <t>Andy Phillips</t>
  </si>
  <si>
    <t>Rat Race Riders</t>
  </si>
  <si>
    <t>Skylands Cylcing</t>
  </si>
  <si>
    <t>Lennon</t>
  </si>
  <si>
    <t>17:30.3</t>
  </si>
  <si>
    <t>Cardona</t>
  </si>
  <si>
    <t>Albert</t>
  </si>
  <si>
    <t>Wattie Ink Hit Squad</t>
  </si>
  <si>
    <t>17:33.6</t>
  </si>
  <si>
    <t>17:45.0</t>
  </si>
  <si>
    <t>17:57.8</t>
  </si>
  <si>
    <t>18:10.9</t>
  </si>
  <si>
    <t>18:38.0</t>
  </si>
  <si>
    <t>Dudko</t>
  </si>
  <si>
    <t>18:46.3</t>
  </si>
  <si>
    <t>Gauthier</t>
  </si>
  <si>
    <t>Rivertowns Racing</t>
  </si>
  <si>
    <t>Team Anaconda</t>
  </si>
  <si>
    <t>18:49.1</t>
  </si>
  <si>
    <t>Pelaez</t>
  </si>
  <si>
    <t>OEG Building Materials</t>
  </si>
  <si>
    <t>18:53.2</t>
  </si>
  <si>
    <t>19:25.8</t>
  </si>
  <si>
    <t>Spilka</t>
  </si>
  <si>
    <t>Theo</t>
  </si>
  <si>
    <t>19:44.8</t>
  </si>
  <si>
    <t>Tranquada</t>
  </si>
  <si>
    <t>Warren</t>
  </si>
  <si>
    <t>20:30.2</t>
  </si>
  <si>
    <t>Muscarello</t>
  </si>
  <si>
    <t>Tony</t>
  </si>
  <si>
    <t>20:34.2</t>
  </si>
  <si>
    <t>Abanico</t>
  </si>
  <si>
    <t>20:36.7</t>
  </si>
  <si>
    <t>Bolcavage</t>
  </si>
  <si>
    <t>20:50.6</t>
  </si>
  <si>
    <t>Benidorm Bikes/Eastern Bloc C.C</t>
  </si>
  <si>
    <t>20:55.7</t>
  </si>
  <si>
    <t>Joachim</t>
  </si>
  <si>
    <t>21:01.9</t>
  </si>
  <si>
    <t>Pete</t>
  </si>
  <si>
    <t>21:12.1</t>
  </si>
  <si>
    <t>Jankowitz</t>
  </si>
  <si>
    <t>Glenn</t>
  </si>
  <si>
    <t>21:19.5</t>
  </si>
  <si>
    <t>21:33.1</t>
  </si>
  <si>
    <t>22:36.0</t>
  </si>
  <si>
    <t>23:44.2</t>
  </si>
  <si>
    <t>20:19.7</t>
  </si>
  <si>
    <t>20:30.8</t>
  </si>
  <si>
    <t>20:45.9</t>
  </si>
  <si>
    <t>Ferland</t>
  </si>
  <si>
    <t>Danielle</t>
  </si>
  <si>
    <t>22:04.2</t>
  </si>
  <si>
    <t>Cole</t>
  </si>
  <si>
    <t>Sturdy Girl Cycling</t>
  </si>
  <si>
    <t>22:11.8</t>
  </si>
  <si>
    <t>Mckensie</t>
  </si>
  <si>
    <t>Walker</t>
  </si>
  <si>
    <t>22:13.1</t>
  </si>
  <si>
    <t>Olsen</t>
  </si>
  <si>
    <t>Cande</t>
  </si>
  <si>
    <t>Healy</t>
  </si>
  <si>
    <t>Erin</t>
  </si>
  <si>
    <t>23:43.1</t>
  </si>
  <si>
    <t>Redondo</t>
  </si>
  <si>
    <t>Martha</t>
  </si>
  <si>
    <t>29:23.7</t>
  </si>
  <si>
    <t>28:37.3</t>
  </si>
  <si>
    <t>29:06.5</t>
  </si>
  <si>
    <t>29:55.3</t>
  </si>
  <si>
    <t>30:57.3</t>
  </si>
  <si>
    <t>Kopchak</t>
  </si>
  <si>
    <t>Lewis</t>
  </si>
  <si>
    <t>The Velo Shop</t>
  </si>
  <si>
    <t>22:17.3</t>
  </si>
  <si>
    <t>24:17.3</t>
  </si>
  <si>
    <t>27:44.0</t>
  </si>
  <si>
    <t>Carter</t>
  </si>
  <si>
    <t>Bram</t>
  </si>
  <si>
    <t>CRCA/E2 Value</t>
  </si>
  <si>
    <t>18:09.1</t>
  </si>
  <si>
    <t>20:01.7</t>
  </si>
  <si>
    <t>CRCA/E2 Values p/b Verge</t>
  </si>
  <si>
    <t>17:49.3</t>
  </si>
  <si>
    <t>18:27.9</t>
  </si>
  <si>
    <t>Kirkpatrick Baird</t>
  </si>
  <si>
    <t>KMS Cycling - Killington Mounta</t>
  </si>
  <si>
    <t>18:32.2</t>
  </si>
  <si>
    <t>Thompson</t>
  </si>
  <si>
    <t>Connor</t>
  </si>
  <si>
    <t>Burner Fitness Development Team</t>
  </si>
  <si>
    <t>19:21.7</t>
  </si>
  <si>
    <t>Corser</t>
  </si>
  <si>
    <t>Tobias</t>
  </si>
  <si>
    <t>CRCA/Century Road Club Development Team</t>
  </si>
  <si>
    <t>19:28.2</t>
  </si>
  <si>
    <t>20:06.7</t>
  </si>
  <si>
    <t>20:47.1</t>
  </si>
  <si>
    <t>21:21.0</t>
  </si>
  <si>
    <t>27:10.9</t>
  </si>
  <si>
    <t>29:33.5</t>
  </si>
  <si>
    <t>Walter</t>
  </si>
  <si>
    <t>Patrick</t>
  </si>
  <si>
    <t>16:38.3</t>
  </si>
  <si>
    <t>Restivo</t>
  </si>
  <si>
    <t>Ronald</t>
  </si>
  <si>
    <t>CRCA/Team Veselka</t>
  </si>
  <si>
    <t>17:41.4</t>
  </si>
  <si>
    <t>Darken</t>
  </si>
  <si>
    <t>Zen Masters Racing</t>
  </si>
  <si>
    <t>19:34.7</t>
  </si>
  <si>
    <t>21:24.8</t>
  </si>
  <si>
    <t>O'Bosky</t>
  </si>
  <si>
    <t>22:59.2</t>
  </si>
  <si>
    <t>17:44.6</t>
  </si>
  <si>
    <t>18:07.2</t>
  </si>
  <si>
    <t>Curran</t>
  </si>
  <si>
    <t>Knapps Cyclery Racing p/b Enduroworx</t>
  </si>
  <si>
    <t>18:30.4</t>
  </si>
  <si>
    <t>18:37.7</t>
  </si>
  <si>
    <t>Ciano</t>
  </si>
  <si>
    <t>22:03.4</t>
  </si>
  <si>
    <t>17:59.9</t>
  </si>
  <si>
    <t>18:13.7</t>
  </si>
  <si>
    <t>18:33.2</t>
  </si>
  <si>
    <t>Kavanaugh</t>
  </si>
  <si>
    <t>Dave</t>
  </si>
  <si>
    <t>18:34.4</t>
  </si>
  <si>
    <t>18:37.8</t>
  </si>
  <si>
    <t>18:46.9</t>
  </si>
  <si>
    <t>19:14.5</t>
  </si>
  <si>
    <t>19:15.6</t>
  </si>
  <si>
    <t>19:46.9</t>
  </si>
  <si>
    <t>19:49.9</t>
  </si>
  <si>
    <t>20:40.8</t>
  </si>
  <si>
    <t>Brennan</t>
  </si>
  <si>
    <t>27:58.9</t>
  </si>
  <si>
    <t>Towner</t>
  </si>
  <si>
    <t>Larry</t>
  </si>
  <si>
    <t>17:56.5</t>
  </si>
  <si>
    <t>O'Neill</t>
  </si>
  <si>
    <t>CRCA/Deno's Wonder Wheel</t>
  </si>
  <si>
    <t>18:28.9</t>
  </si>
  <si>
    <t>18:38.7</t>
  </si>
  <si>
    <t>18:48.7</t>
  </si>
  <si>
    <t>19:02.6</t>
  </si>
  <si>
    <t>Bob</t>
  </si>
  <si>
    <t>19:14.6</t>
  </si>
  <si>
    <t>Maclaga</t>
  </si>
  <si>
    <t>20:16.7</t>
  </si>
  <si>
    <t>20:25.2</t>
  </si>
  <si>
    <t>Bauch</t>
  </si>
  <si>
    <t>21:14.5</t>
  </si>
  <si>
    <t>Sayers</t>
  </si>
  <si>
    <t>22:49.2</t>
  </si>
  <si>
    <t>Remsen</t>
  </si>
  <si>
    <t>Gerard</t>
  </si>
  <si>
    <t>24:24.8</t>
  </si>
  <si>
    <t>24:42.6</t>
  </si>
  <si>
    <t>Zucker</t>
  </si>
  <si>
    <t>Paul</t>
  </si>
  <si>
    <t>HVC Racing</t>
  </si>
  <si>
    <t>18:57.4</t>
  </si>
  <si>
    <t>McCarthy</t>
  </si>
  <si>
    <t>Pittsford Painting/Trek/Towpath</t>
  </si>
  <si>
    <t>18:59.1</t>
  </si>
  <si>
    <t>19:08.8</t>
  </si>
  <si>
    <t>Buck</t>
  </si>
  <si>
    <t>Andrew J.</t>
  </si>
  <si>
    <t>Hassall</t>
  </si>
  <si>
    <t>Tim</t>
  </si>
  <si>
    <t>Woolco Foods</t>
  </si>
  <si>
    <t>22:14.6</t>
  </si>
  <si>
    <t>18:40.6</t>
  </si>
  <si>
    <t>Reichert</t>
  </si>
  <si>
    <t>18:45.6</t>
  </si>
  <si>
    <t>19:16.5</t>
  </si>
  <si>
    <t>19:22.5</t>
  </si>
  <si>
    <t>19:36.5</t>
  </si>
  <si>
    <t>20:20.3</t>
  </si>
  <si>
    <t>Strathairn</t>
  </si>
  <si>
    <t>Ebberly</t>
  </si>
  <si>
    <t>Louie Racing</t>
  </si>
  <si>
    <t>20:23.9</t>
  </si>
  <si>
    <t>Garofalo</t>
  </si>
  <si>
    <t>20:30.0</t>
  </si>
  <si>
    <t>20:40.1</t>
  </si>
  <si>
    <t>Landon</t>
  </si>
  <si>
    <t>20:40.3</t>
  </si>
  <si>
    <t>Costley</t>
  </si>
  <si>
    <t>Simon</t>
  </si>
  <si>
    <t>20:40.5</t>
  </si>
  <si>
    <t>Csencsits</t>
  </si>
  <si>
    <t>20:44.4</t>
  </si>
  <si>
    <t>Buccino</t>
  </si>
  <si>
    <t>20:48.2</t>
  </si>
  <si>
    <t>20:54.5</t>
  </si>
  <si>
    <t>Spencer</t>
  </si>
  <si>
    <t>Cyclepaths</t>
  </si>
  <si>
    <t>21:33.2</t>
  </si>
  <si>
    <t>22:16.0</t>
  </si>
  <si>
    <t>Macpherson</t>
  </si>
  <si>
    <t>Charles</t>
  </si>
  <si>
    <t>22:32.0</t>
  </si>
  <si>
    <t>Goodrich</t>
  </si>
  <si>
    <t>22:07.1</t>
  </si>
  <si>
    <t>22:08.3</t>
  </si>
  <si>
    <t>Forster</t>
  </si>
  <si>
    <t>Lauren</t>
  </si>
  <si>
    <t>22:08.9</t>
  </si>
  <si>
    <t>23:18.0</t>
  </si>
  <si>
    <t>Gerboth</t>
  </si>
  <si>
    <t>Viktoria</t>
  </si>
  <si>
    <t>23:27.5</t>
  </si>
  <si>
    <t>Kerpez</t>
  </si>
  <si>
    <t>Bortolot</t>
  </si>
  <si>
    <t>Lori</t>
  </si>
  <si>
    <t>25:23.8</t>
  </si>
  <si>
    <t>25:49.2</t>
  </si>
  <si>
    <t>Mueller</t>
  </si>
  <si>
    <t>Lynn</t>
  </si>
  <si>
    <t>BJL Coaching</t>
  </si>
  <si>
    <t>Gale</t>
  </si>
  <si>
    <t>CRCA/Breakaway Courier/Boomer</t>
  </si>
  <si>
    <t>20:59.7</t>
  </si>
  <si>
    <t>Di Sessa</t>
  </si>
  <si>
    <t>Teresa</t>
  </si>
  <si>
    <t>21:30.6</t>
  </si>
  <si>
    <t>22:27.6</t>
  </si>
  <si>
    <t>Garcia</t>
  </si>
  <si>
    <t>Johanna</t>
  </si>
  <si>
    <t>23:33.1</t>
  </si>
  <si>
    <t>28:07.3</t>
  </si>
  <si>
    <t>18:42.8</t>
  </si>
  <si>
    <t>Ann Marie</t>
  </si>
  <si>
    <t>CRCA/NY Vision Group-Fuoriclass</t>
  </si>
  <si>
    <t>19:44.6</t>
  </si>
  <si>
    <t>Ford</t>
  </si>
  <si>
    <t>Nancy</t>
  </si>
  <si>
    <t>F</t>
  </si>
  <si>
    <t>Margaret</t>
  </si>
  <si>
    <t>Team Hammer Nutrition</t>
  </si>
  <si>
    <t>20:03.9</t>
  </si>
  <si>
    <t>20:08.1</t>
  </si>
  <si>
    <t>Maher</t>
  </si>
  <si>
    <t>Andrea</t>
  </si>
  <si>
    <t>20:23.6</t>
  </si>
  <si>
    <t>Susan</t>
  </si>
  <si>
    <t>22:14.1</t>
  </si>
  <si>
    <t>22:40.8</t>
  </si>
  <si>
    <t>Coward</t>
  </si>
  <si>
    <t>Bryan</t>
  </si>
  <si>
    <t>Montgomery</t>
  </si>
  <si>
    <t>18:19.3</t>
  </si>
  <si>
    <t>18:30.1</t>
  </si>
  <si>
    <t>18:30.3</t>
  </si>
  <si>
    <t>18:43.0</t>
  </si>
  <si>
    <t>Kruse</t>
  </si>
  <si>
    <t>Kory</t>
  </si>
  <si>
    <t>18:55.0</t>
  </si>
  <si>
    <t>Danysh</t>
  </si>
  <si>
    <t>Wasyel</t>
  </si>
  <si>
    <t>US Military Endurance Sports</t>
  </si>
  <si>
    <t>18:57.6</t>
  </si>
  <si>
    <t>18:57.8</t>
  </si>
  <si>
    <t>Light</t>
  </si>
  <si>
    <t>18:58.9</t>
  </si>
  <si>
    <t>Schatz</t>
  </si>
  <si>
    <t>Don</t>
  </si>
  <si>
    <t>19:10.3</t>
  </si>
  <si>
    <t>Barringer</t>
  </si>
  <si>
    <t>19:23.2</t>
  </si>
  <si>
    <t>19:24.7</t>
  </si>
  <si>
    <t>Wegweiser</t>
  </si>
  <si>
    <t>Hayes</t>
  </si>
  <si>
    <t>Kyle</t>
  </si>
  <si>
    <t>Lehigh University</t>
  </si>
  <si>
    <t>Steward</t>
  </si>
  <si>
    <t>20:03.4</t>
  </si>
  <si>
    <t>20:49.4</t>
  </si>
  <si>
    <t>Balle</t>
  </si>
  <si>
    <t>Hank</t>
  </si>
  <si>
    <t>21:02.9</t>
  </si>
  <si>
    <t>Nabut</t>
  </si>
  <si>
    <t>Jonathan</t>
  </si>
  <si>
    <t>21:11.8</t>
  </si>
  <si>
    <t>21:52.3</t>
  </si>
  <si>
    <t>Eagles</t>
  </si>
  <si>
    <t>Will</t>
  </si>
  <si>
    <t>22:46.9</t>
  </si>
  <si>
    <t>26:20.7</t>
  </si>
  <si>
    <t>Lipka</t>
  </si>
  <si>
    <t>Joshua</t>
  </si>
  <si>
    <t>Instagram BikeTrainingTips</t>
  </si>
  <si>
    <t>16:36.0</t>
  </si>
  <si>
    <t>17:07.0</t>
  </si>
  <si>
    <t>17:14.2</t>
  </si>
  <si>
    <t>17:17.2</t>
  </si>
  <si>
    <t>Ito</t>
  </si>
  <si>
    <t>Masaharu</t>
  </si>
  <si>
    <t>17:38.6</t>
  </si>
  <si>
    <t>17:45.5</t>
  </si>
  <si>
    <t>Rakowitz</t>
  </si>
  <si>
    <t>CRCA/RBNY Racing - Verge Sport</t>
  </si>
  <si>
    <t>18:14.2</t>
  </si>
  <si>
    <t>Silas</t>
  </si>
  <si>
    <t>18:15.8</t>
  </si>
  <si>
    <t>18:18.5</t>
  </si>
  <si>
    <t>Malavarca</t>
  </si>
  <si>
    <t>Elliot</t>
  </si>
  <si>
    <t>Direct Contract Packaging-BiciS</t>
  </si>
  <si>
    <t>18:36.1</t>
  </si>
  <si>
    <t>Laochaloenvanich</t>
  </si>
  <si>
    <t>21:14.4</t>
  </si>
  <si>
    <t>Ron</t>
  </si>
  <si>
    <t>Current Race</t>
  </si>
  <si>
    <t>CUR_RACE</t>
  </si>
  <si>
    <t>ID</t>
  </si>
  <si>
    <t>Name</t>
  </si>
  <si>
    <t>Value</t>
  </si>
  <si>
    <t>Lacey</t>
  </si>
  <si>
    <t>CRCA/Rapha Cycling Club</t>
  </si>
  <si>
    <t>22:15.0</t>
  </si>
  <si>
    <t>23:44.0</t>
  </si>
  <si>
    <t>Stratton</t>
  </si>
  <si>
    <t>CRCA/Team Patch.com</t>
  </si>
  <si>
    <t>23:52.0</t>
  </si>
  <si>
    <t>24:52.0</t>
  </si>
  <si>
    <t>24:02.0</t>
  </si>
  <si>
    <t>Olds</t>
  </si>
  <si>
    <t>24:19.0</t>
  </si>
  <si>
    <t>25:08.0</t>
  </si>
  <si>
    <t>Yager</t>
  </si>
  <si>
    <t>26:48.0</t>
  </si>
  <si>
    <t>Pavlotskiy</t>
  </si>
  <si>
    <t>Alexander</t>
  </si>
  <si>
    <t>27:47.0</t>
  </si>
  <si>
    <t>Benidorm Bikes/Eastern Bloc C.C.</t>
  </si>
  <si>
    <t>36:46.0</t>
  </si>
  <si>
    <t>25:56.0</t>
  </si>
  <si>
    <t>29:06.0</t>
  </si>
  <si>
    <t>33:15.0</t>
  </si>
  <si>
    <t>37:55.0</t>
  </si>
  <si>
    <t>Lariviere</t>
  </si>
  <si>
    <t>Cycle Craft/Bulldogs</t>
  </si>
  <si>
    <t>22:57.0</t>
  </si>
  <si>
    <t>Robohm</t>
  </si>
  <si>
    <t>Rettig</t>
  </si>
  <si>
    <t>Team Bicycle Doctor</t>
  </si>
  <si>
    <t>Straub</t>
  </si>
  <si>
    <t>Death Row Velo</t>
  </si>
  <si>
    <t>22:28.0</t>
  </si>
  <si>
    <t>23:10.0</t>
  </si>
  <si>
    <t>23:25.0</t>
  </si>
  <si>
    <t>Kahl</t>
  </si>
  <si>
    <t>DeSalvo</t>
  </si>
  <si>
    <t>Mecea</t>
  </si>
  <si>
    <t>Healthy &amp; Happy Racing</t>
  </si>
  <si>
    <t>26:07.0</t>
  </si>
  <si>
    <t>Margarum</t>
  </si>
  <si>
    <t>Blackbear Cycling</t>
  </si>
  <si>
    <t>26:45.0</t>
  </si>
  <si>
    <t>23:57.0</t>
  </si>
  <si>
    <t>28:14.0</t>
  </si>
  <si>
    <t>36:36.0</t>
  </si>
  <si>
    <t>Johnson</t>
  </si>
  <si>
    <t>Michael J</t>
  </si>
  <si>
    <t>Lackawanna Valley Race Team</t>
  </si>
  <si>
    <t>23:23.0</t>
  </si>
  <si>
    <t>Kolodziejski</t>
  </si>
  <si>
    <t>Shirk's Racing Masters Team</t>
  </si>
  <si>
    <t>24:20.0</t>
  </si>
  <si>
    <t>Bowmaster</t>
  </si>
  <si>
    <t>24:57.0</t>
  </si>
  <si>
    <t>28:57.0</t>
  </si>
  <si>
    <t>25:26.0</t>
  </si>
  <si>
    <t>26:26.0</t>
  </si>
  <si>
    <t>25:41.0</t>
  </si>
  <si>
    <t>26:01.0</t>
  </si>
  <si>
    <t>27:04.0</t>
  </si>
  <si>
    <t>28:00.0</t>
  </si>
  <si>
    <t>29:10.0</t>
  </si>
  <si>
    <t>29:38.0</t>
  </si>
  <si>
    <t>23:45.0</t>
  </si>
  <si>
    <t>26:39.0</t>
  </si>
  <si>
    <t>MacLaga</t>
  </si>
  <si>
    <t>Reyes</t>
  </si>
  <si>
    <t>Ismael</t>
  </si>
  <si>
    <t>30:25.0</t>
  </si>
  <si>
    <t>Brenner</t>
  </si>
  <si>
    <t>Kurt</t>
  </si>
  <si>
    <t>31:27.0</t>
  </si>
  <si>
    <t>26:04.0</t>
  </si>
  <si>
    <t>29:25.0</t>
  </si>
  <si>
    <t>23:05.0</t>
  </si>
  <si>
    <t>23:28.0</t>
  </si>
  <si>
    <t>Ryba</t>
  </si>
  <si>
    <t>Roman Jr</t>
  </si>
  <si>
    <t>24:42.0</t>
  </si>
  <si>
    <t>25:03.0</t>
  </si>
  <si>
    <t>25:04.0</t>
  </si>
  <si>
    <t>Phillip</t>
  </si>
  <si>
    <t>26:10.0</t>
  </si>
  <si>
    <t>26:22.0</t>
  </si>
  <si>
    <t>Centeno</t>
  </si>
  <si>
    <t>Victor</t>
  </si>
  <si>
    <t>27:46.0</t>
  </si>
  <si>
    <t>Eng</t>
  </si>
  <si>
    <t>Team Bulldog/Cycle Craft</t>
  </si>
  <si>
    <t>27:49.0</t>
  </si>
  <si>
    <t>28:01.0</t>
  </si>
  <si>
    <t>28:29.0</t>
  </si>
  <si>
    <t>Drizhal</t>
  </si>
  <si>
    <t>Jack</t>
  </si>
  <si>
    <t>28:42.0</t>
  </si>
  <si>
    <t>32:00.0</t>
  </si>
  <si>
    <t>33:55.0</t>
  </si>
  <si>
    <t>Ken</t>
  </si>
  <si>
    <t>Team Clark</t>
  </si>
  <si>
    <t>29:44.0</t>
  </si>
  <si>
    <t>32:51.0</t>
  </si>
  <si>
    <t>34:57.0</t>
  </si>
  <si>
    <t>41:28.0</t>
  </si>
  <si>
    <t>52:53.0</t>
  </si>
  <si>
    <t>Boardman</t>
  </si>
  <si>
    <t>CRCA/Rockstar Games</t>
  </si>
  <si>
    <t>21:06.0</t>
  </si>
  <si>
    <t>22:03.0</t>
  </si>
  <si>
    <t>22:10.0</t>
  </si>
  <si>
    <t>22:43.0</t>
  </si>
  <si>
    <t>22:44.0</t>
  </si>
  <si>
    <t>Donten</t>
  </si>
  <si>
    <t>22:54.0</t>
  </si>
  <si>
    <t>Rutherford</t>
  </si>
  <si>
    <t>Gary</t>
  </si>
  <si>
    <t>Art of Cycling NYC</t>
  </si>
  <si>
    <t>24:56.0</t>
  </si>
  <si>
    <t>Ulmer</t>
  </si>
  <si>
    <t>Ben</t>
  </si>
  <si>
    <t>27:58.0</t>
  </si>
  <si>
    <t>29:13.0</t>
  </si>
  <si>
    <t>30:58.0</t>
  </si>
  <si>
    <t>32:19.0</t>
  </si>
  <si>
    <t>45:28.0</t>
  </si>
  <si>
    <t>Leibowitz</t>
  </si>
  <si>
    <t>19:54.0</t>
  </si>
  <si>
    <t>Margarite</t>
  </si>
  <si>
    <t>CRCA/The Weather Channel Specialized Cycling Team</t>
  </si>
  <si>
    <t>20:03.0</t>
  </si>
  <si>
    <t>Niemotko</t>
  </si>
  <si>
    <t>Szymon</t>
  </si>
  <si>
    <t>21:02.0</t>
  </si>
  <si>
    <t>Freifelder</t>
  </si>
  <si>
    <t>21:31.0</t>
  </si>
  <si>
    <t>Johnston</t>
  </si>
  <si>
    <t>Bicycle Habitat-Verge Sport</t>
  </si>
  <si>
    <t>21:34.0</t>
  </si>
  <si>
    <t>22:25.0</t>
  </si>
  <si>
    <t>23:01.0</t>
  </si>
  <si>
    <t>23:07.0</t>
  </si>
  <si>
    <t>23:17.0</t>
  </si>
  <si>
    <t>Matsushima</t>
  </si>
  <si>
    <t>Joji</t>
  </si>
  <si>
    <t>Imaichi Cycling Team</t>
  </si>
  <si>
    <t>23:19.0</t>
  </si>
  <si>
    <t>23:21.0</t>
  </si>
  <si>
    <t>Imaishi</t>
  </si>
  <si>
    <t>Tatsuo</t>
  </si>
  <si>
    <t>Strictly Bicycles</t>
  </si>
  <si>
    <t>23:22.0</t>
  </si>
  <si>
    <t>Schneider</t>
  </si>
  <si>
    <t>Masha</t>
  </si>
  <si>
    <t>24:49.0</t>
  </si>
  <si>
    <t>29:49.0</t>
  </si>
  <si>
    <t>59:01.0</t>
  </si>
  <si>
    <t>Velucci</t>
  </si>
  <si>
    <t>23:54.1</t>
  </si>
  <si>
    <t>24:09.6</t>
  </si>
  <si>
    <t>24:36.8</t>
  </si>
  <si>
    <t>24:58.9</t>
  </si>
  <si>
    <t>25:58.9</t>
  </si>
  <si>
    <t>25:03.6</t>
  </si>
  <si>
    <t>26:03.6</t>
  </si>
  <si>
    <t>26:07.9</t>
  </si>
  <si>
    <t>Mogyoros</t>
  </si>
  <si>
    <t>Zoltan</t>
  </si>
  <si>
    <t>26:24.3</t>
  </si>
  <si>
    <t>26:38.2</t>
  </si>
  <si>
    <t>26:43.2</t>
  </si>
  <si>
    <t>27:09.7</t>
  </si>
  <si>
    <t>27:21.5</t>
  </si>
  <si>
    <t>28:04.2</t>
  </si>
  <si>
    <t>28:40.0</t>
  </si>
  <si>
    <t>29:06.7</t>
  </si>
  <si>
    <t>Carragher</t>
  </si>
  <si>
    <t>33:16.6</t>
  </si>
  <si>
    <t>22:49.8</t>
  </si>
  <si>
    <t>23:24.9</t>
  </si>
  <si>
    <t>Slavinski</t>
  </si>
  <si>
    <t>BPC Racing</t>
  </si>
  <si>
    <t>23:26.0</t>
  </si>
  <si>
    <t>Baker</t>
  </si>
  <si>
    <t>24:25.2</t>
  </si>
  <si>
    <t>Catherines</t>
  </si>
  <si>
    <t>24:33.7</t>
  </si>
  <si>
    <t>Hendricks</t>
  </si>
  <si>
    <t>Hudson Valley Cycling p/b All S</t>
  </si>
  <si>
    <t>24:53.7</t>
  </si>
  <si>
    <t>25:02.7</t>
  </si>
  <si>
    <t>Bogart</t>
  </si>
  <si>
    <t>Jordan</t>
  </si>
  <si>
    <t>29:42.0</t>
  </si>
  <si>
    <t>30:07.1</t>
  </si>
  <si>
    <t>30:18.1</t>
  </si>
  <si>
    <t>31:43.5</t>
  </si>
  <si>
    <t>Rosenhaus</t>
  </si>
  <si>
    <t>23:51.7</t>
  </si>
  <si>
    <t>23:57.4</t>
  </si>
  <si>
    <t>24:07.8</t>
  </si>
  <si>
    <t>24:15.1</t>
  </si>
  <si>
    <t>24:25.6</t>
  </si>
  <si>
    <t>24:41.6</t>
  </si>
  <si>
    <t>24:57.3</t>
  </si>
  <si>
    <t>Sonies</t>
  </si>
  <si>
    <t>Mitch</t>
  </si>
  <si>
    <t>24:58.8</t>
  </si>
  <si>
    <t>25:00.6</t>
  </si>
  <si>
    <t>Fayle</t>
  </si>
  <si>
    <t>Owen</t>
  </si>
  <si>
    <t>25:09.3</t>
  </si>
  <si>
    <t>25:52.5</t>
  </si>
  <si>
    <t>Peterson</t>
  </si>
  <si>
    <t>28:32.1</t>
  </si>
  <si>
    <t>28:41.3</t>
  </si>
  <si>
    <t>Karr</t>
  </si>
  <si>
    <t>29:18.3</t>
  </si>
  <si>
    <t>33:40.3</t>
  </si>
  <si>
    <t>Furchtgott</t>
  </si>
  <si>
    <t>Battley Harley-Davidson</t>
  </si>
  <si>
    <t>21:14.8</t>
  </si>
  <si>
    <t>Aytan</t>
  </si>
  <si>
    <t>Baris</t>
  </si>
  <si>
    <t>21:27.2</t>
  </si>
  <si>
    <t>Runggatscher</t>
  </si>
  <si>
    <t>Andreas</t>
  </si>
  <si>
    <t>FinKraft Cycling Team</t>
  </si>
  <si>
    <t>21:34.7</t>
  </si>
  <si>
    <t>Wood</t>
  </si>
  <si>
    <t>Justin</t>
  </si>
  <si>
    <t>21:53.0</t>
  </si>
  <si>
    <t>22:28.4</t>
  </si>
  <si>
    <t>22:39.6</t>
  </si>
  <si>
    <t>22:53.3</t>
  </si>
  <si>
    <t>23:05.6</t>
  </si>
  <si>
    <t>23:22.1</t>
  </si>
  <si>
    <t>23:38.7</t>
  </si>
  <si>
    <t>25:40.9</t>
  </si>
  <si>
    <t>30:35.6</t>
  </si>
  <si>
    <t>34:33.8</t>
  </si>
  <si>
    <t>34:44.1</t>
  </si>
  <si>
    <t>CRCA/e2Value</t>
  </si>
  <si>
    <t>23:50.8</t>
  </si>
  <si>
    <t>parry</t>
  </si>
  <si>
    <t>31:24.5</t>
  </si>
  <si>
    <t>25:59.2</t>
  </si>
  <si>
    <t>21:38.5</t>
  </si>
  <si>
    <t>26:38.5</t>
  </si>
  <si>
    <t>23:02.1</t>
  </si>
  <si>
    <t>Gosling</t>
  </si>
  <si>
    <t>Firehouse Cycles</t>
  </si>
  <si>
    <t>Sutherland</t>
  </si>
  <si>
    <t>24:31.8</t>
  </si>
  <si>
    <t>Bye</t>
  </si>
  <si>
    <t>24:51.2</t>
  </si>
  <si>
    <t>Lyons</t>
  </si>
  <si>
    <t>22:52.0</t>
  </si>
  <si>
    <t>23:28.2</t>
  </si>
  <si>
    <t>Isola</t>
  </si>
  <si>
    <t>Neil</t>
  </si>
  <si>
    <t>23:32.7</t>
  </si>
  <si>
    <t>25:14.8</t>
  </si>
  <si>
    <t>23:58.0</t>
  </si>
  <si>
    <t>23:48.2</t>
  </si>
  <si>
    <t>23:48.4</t>
  </si>
  <si>
    <t>24:16.1</t>
  </si>
  <si>
    <t>25:12.1</t>
  </si>
  <si>
    <t>25:47.9</t>
  </si>
  <si>
    <t>25:54.5</t>
  </si>
  <si>
    <t>26:13.3</t>
  </si>
  <si>
    <t>26:19.3</t>
  </si>
  <si>
    <t>26:48.8</t>
  </si>
  <si>
    <t>37:39.8</t>
  </si>
  <si>
    <t>22:58.8</t>
  </si>
  <si>
    <t>24:11.1</t>
  </si>
  <si>
    <t>24:21.1</t>
  </si>
  <si>
    <t>24:45.2</t>
  </si>
  <si>
    <t>25:36.8</t>
  </si>
  <si>
    <t>27:26.6</t>
  </si>
  <si>
    <t>28:04.5</t>
  </si>
  <si>
    <t>Felschow</t>
  </si>
  <si>
    <t>Hcycling</t>
  </si>
  <si>
    <t>28:32.6</t>
  </si>
  <si>
    <t>29:22.3</t>
  </si>
  <si>
    <t>34:10.0</t>
  </si>
  <si>
    <t>24:05.4</t>
  </si>
  <si>
    <t>24:35.1</t>
  </si>
  <si>
    <t>25:57.8</t>
  </si>
  <si>
    <t>Hartnett</t>
  </si>
  <si>
    <t>South Mountain Velo Club</t>
  </si>
  <si>
    <t>Hassal</t>
  </si>
  <si>
    <t>32:34.1</t>
  </si>
  <si>
    <t>Fischman</t>
  </si>
  <si>
    <t>Lew</t>
  </si>
  <si>
    <t>32:43.8</t>
  </si>
  <si>
    <t>Penuela</t>
  </si>
  <si>
    <t>Gonzalo</t>
  </si>
  <si>
    <t>35:54.0</t>
  </si>
  <si>
    <t>Klosinski</t>
  </si>
  <si>
    <t>Rothman Institutde p/b Talksoft</t>
  </si>
  <si>
    <t>29:34.5</t>
  </si>
  <si>
    <t>Seiji</t>
  </si>
  <si>
    <t>Yoshihira</t>
  </si>
  <si>
    <t>Leomo</t>
  </si>
  <si>
    <t>35:23.3</t>
  </si>
  <si>
    <t>36:37.5</t>
  </si>
  <si>
    <t>37:25.3</t>
  </si>
  <si>
    <t>41:22.7</t>
  </si>
  <si>
    <t>27:19.5</t>
  </si>
  <si>
    <t>28:09.2</t>
  </si>
  <si>
    <t>29:43.9</t>
  </si>
  <si>
    <t>30:01.0</t>
  </si>
  <si>
    <t>34:39.0</t>
  </si>
  <si>
    <t>35:22.6</t>
  </si>
  <si>
    <t>Cutler</t>
  </si>
  <si>
    <t>Marianna</t>
  </si>
  <si>
    <t>35:37.1</t>
  </si>
  <si>
    <t>37:06.8</t>
  </si>
  <si>
    <t>28:10.2</t>
  </si>
  <si>
    <t>29:05.8</t>
  </si>
  <si>
    <t>Active Yards / Chester County V</t>
  </si>
  <si>
    <t>29:20.2</t>
  </si>
  <si>
    <t>30:51.3</t>
  </si>
  <si>
    <t>32:29.5</t>
  </si>
  <si>
    <t>Gollihur</t>
  </si>
  <si>
    <t>Ixsa</t>
  </si>
  <si>
    <t>27:33.9</t>
  </si>
  <si>
    <t>28:08.6</t>
  </si>
  <si>
    <t>Contento-Angell</t>
  </si>
  <si>
    <t>MTBNJ</t>
  </si>
  <si>
    <t>28:15.1</t>
  </si>
  <si>
    <t>McCabe</t>
  </si>
  <si>
    <t>28:47.2</t>
  </si>
  <si>
    <t>29:10.5</t>
  </si>
  <si>
    <t>29:25.5</t>
  </si>
  <si>
    <t>Kennedy-Hess</t>
  </si>
  <si>
    <t>Candace</t>
  </si>
  <si>
    <t>29:34.8</t>
  </si>
  <si>
    <t>36:01.7</t>
  </si>
  <si>
    <t>24:45.5</t>
  </si>
  <si>
    <t>Friedrichsen</t>
  </si>
  <si>
    <t>Audrey</t>
  </si>
  <si>
    <t>24:45.7</t>
  </si>
  <si>
    <t>25:46.2</t>
  </si>
  <si>
    <t>26:00.3</t>
  </si>
  <si>
    <t>26:40.6</t>
  </si>
  <si>
    <t>26:58.5</t>
  </si>
  <si>
    <t>Twer</t>
  </si>
  <si>
    <t>Jody</t>
  </si>
  <si>
    <t>30:51.4</t>
  </si>
  <si>
    <t>Ragonese</t>
  </si>
  <si>
    <t>Nicole</t>
  </si>
  <si>
    <t>Watts Up cycling</t>
  </si>
  <si>
    <t>30:56.0</t>
  </si>
  <si>
    <t>32:57.3</t>
  </si>
  <si>
    <t>Parry</t>
  </si>
  <si>
    <t>20:01.2</t>
  </si>
  <si>
    <t>20:16.4</t>
  </si>
  <si>
    <t>20:21.4</t>
  </si>
  <si>
    <t>Capetola</t>
  </si>
  <si>
    <t>Blue Bell Private Wealth Management</t>
  </si>
  <si>
    <t>20:22.8</t>
  </si>
  <si>
    <t>Garibi</t>
  </si>
  <si>
    <t>Alberto</t>
  </si>
  <si>
    <t>QCW Cycling p.b. Breakawaybikes</t>
  </si>
  <si>
    <t>22:12.7</t>
  </si>
  <si>
    <t>Joyce</t>
  </si>
  <si>
    <t>25:15.3</t>
  </si>
  <si>
    <t>25:47.2</t>
  </si>
  <si>
    <t>22:12.8</t>
  </si>
  <si>
    <t>23:41.0</t>
  </si>
  <si>
    <t>24:47.5</t>
  </si>
  <si>
    <t>24:54.6</t>
  </si>
  <si>
    <t>Carl Hart Racing</t>
  </si>
  <si>
    <t>27:13.3</t>
  </si>
  <si>
    <t>37:52.3</t>
  </si>
  <si>
    <t>25:58.4</t>
  </si>
  <si>
    <t>30:34.8</t>
  </si>
  <si>
    <t>30:54.8</t>
  </si>
  <si>
    <t>21:19.9</t>
  </si>
  <si>
    <t>22:02.2</t>
  </si>
  <si>
    <t>36:33.4</t>
  </si>
  <si>
    <t>Holzman</t>
  </si>
  <si>
    <t>19:20.8</t>
  </si>
  <si>
    <t>20:00.0</t>
  </si>
  <si>
    <t>19:24.4</t>
  </si>
  <si>
    <t>19:26.8</t>
  </si>
  <si>
    <t>19:54.9</t>
  </si>
  <si>
    <t>20:27.7</t>
  </si>
  <si>
    <t>Sambrano</t>
  </si>
  <si>
    <t>19:40.6</t>
  </si>
  <si>
    <t>19:58.9</t>
  </si>
  <si>
    <t>20:06.0</t>
  </si>
  <si>
    <t>20:24.4</t>
  </si>
  <si>
    <t>20:27.8</t>
  </si>
  <si>
    <t>20:54.0</t>
  </si>
  <si>
    <t>20:55.9</t>
  </si>
  <si>
    <t>21:24.1</t>
  </si>
  <si>
    <t>21:32.0</t>
  </si>
  <si>
    <t>Kruus</t>
  </si>
  <si>
    <t>Ilkka</t>
  </si>
  <si>
    <t>Baltimore Bicycle Club/Team BB</t>
  </si>
  <si>
    <t>22:36.3</t>
  </si>
  <si>
    <t>34:42.3</t>
  </si>
  <si>
    <t>19:39.1</t>
  </si>
  <si>
    <t>Manacchio</t>
  </si>
  <si>
    <t>20:10.0</t>
  </si>
  <si>
    <t>20:59.3</t>
  </si>
  <si>
    <t>21:04.3</t>
  </si>
  <si>
    <t>23:23.2</t>
  </si>
  <si>
    <t>23:44.6</t>
  </si>
  <si>
    <t>29:37.6</t>
  </si>
  <si>
    <t>20:27.6</t>
  </si>
  <si>
    <t>21:41.3</t>
  </si>
  <si>
    <t>Casciato</t>
  </si>
  <si>
    <t>Saling</t>
  </si>
  <si>
    <t>24:15.9</t>
  </si>
  <si>
    <t>23:07.4</t>
  </si>
  <si>
    <t>24:06.3</t>
  </si>
  <si>
    <t>25:18.7</t>
  </si>
  <si>
    <t>Doman</t>
  </si>
  <si>
    <t>Layla</t>
  </si>
  <si>
    <t>Getting It In Cyclists</t>
  </si>
  <si>
    <t>27:30.6</t>
  </si>
  <si>
    <t>28:42.9</t>
  </si>
  <si>
    <t>20:00.9</t>
  </si>
  <si>
    <t>20:09.0</t>
  </si>
  <si>
    <t>21:01.1</t>
  </si>
  <si>
    <t>22:08.6</t>
  </si>
  <si>
    <t>22:11.9</t>
  </si>
  <si>
    <t>22:13.7</t>
  </si>
  <si>
    <t>Boyle</t>
  </si>
  <si>
    <t>Brandy</t>
  </si>
  <si>
    <t>CRCA/Houlihan Lokey</t>
  </si>
  <si>
    <t>22:17.5</t>
  </si>
  <si>
    <t>Schilling</t>
  </si>
  <si>
    <t>Team Uneeda Plumbing</t>
  </si>
  <si>
    <t>22:48.2</t>
  </si>
  <si>
    <t>26:25.6</t>
  </si>
  <si>
    <t>34:11.0</t>
  </si>
  <si>
    <t>20:58.0</t>
  </si>
  <si>
    <t>21:33.7</t>
  </si>
  <si>
    <t>Frey</t>
  </si>
  <si>
    <t>23:07.9</t>
  </si>
  <si>
    <t>Schumacher</t>
  </si>
  <si>
    <t>Evolution Cycling Club</t>
  </si>
  <si>
    <t>23:16.7</t>
  </si>
  <si>
    <t>23:57.5</t>
  </si>
  <si>
    <t>Gordon</t>
  </si>
  <si>
    <t>CRCA/Radical Media</t>
  </si>
  <si>
    <t>24:10.5</t>
  </si>
  <si>
    <t>CRCA/NYCC Racing</t>
  </si>
  <si>
    <t>24:57.9</t>
  </si>
  <si>
    <t>18:19.5</t>
  </si>
  <si>
    <t>Calvert</t>
  </si>
  <si>
    <t>Randall</t>
  </si>
  <si>
    <t>Team FEC p/b Cycle Sports</t>
  </si>
  <si>
    <t>19:09.6</t>
  </si>
  <si>
    <t>22:19.8</t>
  </si>
  <si>
    <t>24:19.8</t>
  </si>
  <si>
    <t>27:48.5</t>
  </si>
  <si>
    <t>22:37.0</t>
  </si>
  <si>
    <t>23:01.5</t>
  </si>
  <si>
    <t>24:09.4</t>
  </si>
  <si>
    <t>25:09.4</t>
  </si>
  <si>
    <t>25:15.5</t>
  </si>
  <si>
    <t>25:27.0</t>
  </si>
  <si>
    <t>25:38.1</t>
  </si>
  <si>
    <t>Stadelmeyer</t>
  </si>
  <si>
    <t>25:40.0</t>
  </si>
  <si>
    <t>25:46.7</t>
  </si>
  <si>
    <t>26:18.9</t>
  </si>
  <si>
    <t>Sands</t>
  </si>
  <si>
    <t>Mitchell</t>
  </si>
  <si>
    <t>26:44.7</t>
  </si>
  <si>
    <t>Orazem</t>
  </si>
  <si>
    <t>Rasta Returns</t>
  </si>
  <si>
    <t>26:50.4</t>
  </si>
  <si>
    <t>21:13.4</t>
  </si>
  <si>
    <t>21:28.7</t>
  </si>
  <si>
    <t>22:05.8</t>
  </si>
  <si>
    <t>22:34.4</t>
  </si>
  <si>
    <t>22:48.6</t>
  </si>
  <si>
    <t>22:48.7</t>
  </si>
  <si>
    <t>Morales</t>
  </si>
  <si>
    <t>22:50.5</t>
  </si>
  <si>
    <t>23:03.5</t>
  </si>
  <si>
    <t>Kulp</t>
  </si>
  <si>
    <t>Kc</t>
  </si>
  <si>
    <t>Wooden Wheels Racing</t>
  </si>
  <si>
    <t>23:39.2</t>
  </si>
  <si>
    <t>Talbot</t>
  </si>
  <si>
    <t>24:32.2</t>
  </si>
  <si>
    <t>24:56.9</t>
  </si>
  <si>
    <t>Donahue</t>
  </si>
  <si>
    <t>25:56.2</t>
  </si>
  <si>
    <t>27:15.0</t>
  </si>
  <si>
    <t>27:32.9</t>
  </si>
  <si>
    <t>22:03.9</t>
  </si>
  <si>
    <t>Steinberg</t>
  </si>
  <si>
    <t>Brauer / Mick Management</t>
  </si>
  <si>
    <t>22:30.5</t>
  </si>
  <si>
    <t>44:30.5</t>
  </si>
  <si>
    <t>Rey</t>
  </si>
  <si>
    <t>22:47.2</t>
  </si>
  <si>
    <t>22:50.1</t>
  </si>
  <si>
    <t>22:58.7</t>
  </si>
  <si>
    <t>23:03.6</t>
  </si>
  <si>
    <t>Ballard</t>
  </si>
  <si>
    <t>Jere</t>
  </si>
  <si>
    <t>South Mt Velo Club</t>
  </si>
  <si>
    <t>23:22.7</t>
  </si>
  <si>
    <t>23:28.3</t>
  </si>
  <si>
    <t>Tompkins</t>
  </si>
  <si>
    <t>24:02.8</t>
  </si>
  <si>
    <t>25:41.8</t>
  </si>
  <si>
    <t>Beighley</t>
  </si>
  <si>
    <t>Doylestown Bike Works p/b Fred</t>
  </si>
  <si>
    <t>CRCA/The Weather Channel</t>
  </si>
  <si>
    <t>19:18.8</t>
  </si>
  <si>
    <t>Ferreira</t>
  </si>
  <si>
    <t>Team Metra / XRCEL / Cycles 54</t>
  </si>
  <si>
    <t>20:38.8</t>
  </si>
  <si>
    <t>20:46.6</t>
  </si>
  <si>
    <t>Sobotkin</t>
  </si>
  <si>
    <t>Blue Bell Wealth Management</t>
  </si>
  <si>
    <t>20:48.8</t>
  </si>
  <si>
    <t>21:00.3</t>
  </si>
  <si>
    <t>21:10.1</t>
  </si>
  <si>
    <t>21:30.2</t>
  </si>
  <si>
    <t>Salvatore</t>
  </si>
  <si>
    <t>Scotto Divetta</t>
  </si>
  <si>
    <t>Vela Society</t>
  </si>
  <si>
    <t>22:40.2</t>
  </si>
  <si>
    <t>Wright</t>
  </si>
  <si>
    <t>Anson</t>
  </si>
  <si>
    <t>Gotham Cyclists</t>
  </si>
  <si>
    <t>26:49.7</t>
  </si>
  <si>
    <t>27:55.0</t>
  </si>
  <si>
    <t>28:00.3</t>
  </si>
  <si>
    <t>Fredmond</t>
  </si>
  <si>
    <t>31:39.4</t>
  </si>
  <si>
    <t>32:28.0</t>
  </si>
  <si>
    <t>Hochstrasser</t>
  </si>
  <si>
    <t>Dominik</t>
  </si>
  <si>
    <t>32:21.2</t>
  </si>
  <si>
    <t>Walton</t>
  </si>
  <si>
    <t>Young Medalists</t>
  </si>
  <si>
    <t>22:41.9</t>
  </si>
  <si>
    <t>23:52.8</t>
  </si>
  <si>
    <t>24:08.5</t>
  </si>
  <si>
    <t>25:54.2</t>
  </si>
  <si>
    <t>20:10.4</t>
  </si>
  <si>
    <t>Henasey</t>
  </si>
  <si>
    <t>21:44.7</t>
  </si>
  <si>
    <t>25:10.3</t>
  </si>
  <si>
    <t>Nash</t>
  </si>
  <si>
    <t>Anthony</t>
  </si>
  <si>
    <t>28:02.8</t>
  </si>
  <si>
    <t>21:20.5</t>
  </si>
  <si>
    <t>22:19.0</t>
  </si>
  <si>
    <t>Pharo</t>
  </si>
  <si>
    <t>CBRC</t>
  </si>
  <si>
    <t>Lenhart</t>
  </si>
  <si>
    <t>Kirk</t>
  </si>
  <si>
    <t>The Cycle Works</t>
  </si>
  <si>
    <t>25:45.9</t>
  </si>
  <si>
    <t>26:57.5</t>
  </si>
  <si>
    <t>21:36.2</t>
  </si>
  <si>
    <t>23:36.2</t>
  </si>
  <si>
    <t>22:05.6</t>
  </si>
  <si>
    <t>22:12.0</t>
  </si>
  <si>
    <t>22:13.2</t>
  </si>
  <si>
    <t>22:40.4</t>
  </si>
  <si>
    <t>22:53.2</t>
  </si>
  <si>
    <t>23:09.7</t>
  </si>
  <si>
    <t>23:21.6</t>
  </si>
  <si>
    <t>24:18.2</t>
  </si>
  <si>
    <t>24:58.1</t>
  </si>
  <si>
    <t>Fay</t>
  </si>
  <si>
    <t>26:46.9</t>
  </si>
  <si>
    <t>21:59.6</t>
  </si>
  <si>
    <t>22:20.0</t>
  </si>
  <si>
    <t>22:22.3</t>
  </si>
  <si>
    <t>Dalzell</t>
  </si>
  <si>
    <t>PA Masters RC p/b Piscitello La</t>
  </si>
  <si>
    <t>22:25.5</t>
  </si>
  <si>
    <t>23:00.7</t>
  </si>
  <si>
    <t>Stern</t>
  </si>
  <si>
    <t>CRCA/Ashe</t>
  </si>
  <si>
    <t>23:07.5</t>
  </si>
  <si>
    <t>23:15.2</t>
  </si>
  <si>
    <t>Prodorutti</t>
  </si>
  <si>
    <t>West Chester Cycling Solutions</t>
  </si>
  <si>
    <t>24:39.8</t>
  </si>
  <si>
    <t>25:15.6</t>
  </si>
  <si>
    <t>25:20.4</t>
  </si>
  <si>
    <t>25:51.5</t>
  </si>
  <si>
    <t>22:51.4</t>
  </si>
  <si>
    <t>23:26.8</t>
  </si>
  <si>
    <t>24:15.0</t>
  </si>
  <si>
    <t>28:43.5</t>
  </si>
  <si>
    <t>Hauck</t>
  </si>
  <si>
    <t>Grayson</t>
  </si>
  <si>
    <t>27:05.4</t>
  </si>
  <si>
    <t>Hernandez</t>
  </si>
  <si>
    <t>Eziel</t>
  </si>
  <si>
    <t>Star Track</t>
  </si>
  <si>
    <t>25:37.2</t>
  </si>
  <si>
    <t>26:12.7</t>
  </si>
  <si>
    <t>27:43.7</t>
  </si>
  <si>
    <t>Levin</t>
  </si>
  <si>
    <t>Rebecca</t>
  </si>
  <si>
    <t>28:57.6</t>
  </si>
  <si>
    <t>30:24.2</t>
  </si>
  <si>
    <t>Christine</t>
  </si>
  <si>
    <t>30:56.3</t>
  </si>
  <si>
    <t>31.52.0</t>
  </si>
  <si>
    <t>24:59.5</t>
  </si>
  <si>
    <t>Kester</t>
  </si>
  <si>
    <t>Carol</t>
  </si>
  <si>
    <t>25:45.5</t>
  </si>
  <si>
    <t>26:04.3</t>
  </si>
  <si>
    <t>26:11.0</t>
  </si>
  <si>
    <t>Toolan</t>
  </si>
  <si>
    <t>Pro Power Endurance Sports Coach</t>
  </si>
  <si>
    <t>27:01.7</t>
  </si>
  <si>
    <t>Moses</t>
  </si>
  <si>
    <t>25:37.6</t>
  </si>
  <si>
    <t>26:31.3</t>
  </si>
  <si>
    <t>28:34.5</t>
  </si>
  <si>
    <t>23:40.0</t>
  </si>
  <si>
    <t>24:00.7</t>
  </si>
  <si>
    <t>Adelberg</t>
  </si>
  <si>
    <t>Erica</t>
  </si>
  <si>
    <t>24:11.6</t>
  </si>
  <si>
    <t>Leedale-Brown</t>
  </si>
  <si>
    <t>Deborah</t>
  </si>
  <si>
    <t>24:28.9</t>
  </si>
  <si>
    <t>24:38.2</t>
  </si>
  <si>
    <t>Goldschmidt</t>
  </si>
  <si>
    <t>Mary</t>
  </si>
  <si>
    <t>24:54.5</t>
  </si>
  <si>
    <t>25:02.5</t>
  </si>
  <si>
    <t>Tuckahoe Bike Shop</t>
  </si>
  <si>
    <t>1:04:47</t>
  </si>
  <si>
    <t>1:08:29</t>
  </si>
  <si>
    <t>The Performance Lab p/b Caffein</t>
  </si>
  <si>
    <t>36:04</t>
  </si>
  <si>
    <t>39:02</t>
  </si>
  <si>
    <t>42:11</t>
  </si>
  <si>
    <t>42:49</t>
  </si>
  <si>
    <t>O'Connor</t>
  </si>
  <si>
    <t>43:39</t>
  </si>
  <si>
    <t>32:40</t>
  </si>
  <si>
    <t>39:20</t>
  </si>
  <si>
    <t>30:50</t>
  </si>
  <si>
    <t>31:19</t>
  </si>
  <si>
    <t>35:45</t>
  </si>
  <si>
    <t>ORIGIN Performance Training Systems</t>
  </si>
  <si>
    <t>42:06</t>
  </si>
  <si>
    <t>Ana</t>
  </si>
  <si>
    <t>4:03:00</t>
  </si>
  <si>
    <t>0:55:25</t>
  </si>
  <si>
    <t>0:56:42</t>
  </si>
  <si>
    <t>0:57:20</t>
  </si>
  <si>
    <t>0:57:37</t>
  </si>
  <si>
    <t>Gilliland</t>
  </si>
  <si>
    <t>Kenneth</t>
  </si>
  <si>
    <t>Peddlers Shop Cycling Team</t>
  </si>
  <si>
    <t>0:58:03</t>
  </si>
  <si>
    <t>1:01:25</t>
  </si>
  <si>
    <t>0:55:27</t>
  </si>
  <si>
    <t>0:56:34</t>
  </si>
  <si>
    <t>0:57:16</t>
  </si>
  <si>
    <t>0:58:32</t>
  </si>
  <si>
    <t>Grehan</t>
  </si>
  <si>
    <t>Kissena Cycling Club</t>
  </si>
  <si>
    <t>1:00:11</t>
  </si>
  <si>
    <t>1:03:12</t>
  </si>
  <si>
    <t>1:09:18</t>
  </si>
  <si>
    <t>1:10:06</t>
  </si>
  <si>
    <t>Buben</t>
  </si>
  <si>
    <t>Dzmitry</t>
  </si>
  <si>
    <t>Velotooler</t>
  </si>
  <si>
    <t>0:55:52</t>
  </si>
  <si>
    <t>0:55:54</t>
  </si>
  <si>
    <t>0:57:35</t>
  </si>
  <si>
    <t>0:58:20</t>
  </si>
  <si>
    <t>0:58:41</t>
  </si>
  <si>
    <t>0:58:46</t>
  </si>
  <si>
    <t>1:03:02</t>
  </si>
  <si>
    <t>1:04:07</t>
  </si>
  <si>
    <t>1:04:35</t>
  </si>
  <si>
    <t>1:04:52</t>
  </si>
  <si>
    <t>Bayat</t>
  </si>
  <si>
    <t>Fafar</t>
  </si>
  <si>
    <t>1:05:34</t>
  </si>
  <si>
    <t>Kaempfen</t>
  </si>
  <si>
    <t>1:12:56</t>
  </si>
  <si>
    <t>0:56:49</t>
  </si>
  <si>
    <t>0:56:53</t>
  </si>
  <si>
    <t>0:59:39</t>
  </si>
  <si>
    <t>0:59:49</t>
  </si>
  <si>
    <t>0:59:47</t>
  </si>
  <si>
    <t>0:59:50</t>
  </si>
  <si>
    <t>1:00:55</t>
  </si>
  <si>
    <t>1:10:53</t>
  </si>
  <si>
    <t>1:11:39</t>
  </si>
  <si>
    <t>1:14:50</t>
  </si>
  <si>
    <t>1:27:24</t>
  </si>
  <si>
    <t>1:04:49</t>
  </si>
  <si>
    <t>1:14:24</t>
  </si>
  <si>
    <t>1:27:20</t>
  </si>
  <si>
    <t>Caryl</t>
  </si>
  <si>
    <t>CRCA/Breakaway Courier</t>
  </si>
  <si>
    <t>1:07:25</t>
  </si>
  <si>
    <t>Elana</t>
  </si>
  <si>
    <t>Iaciofano</t>
  </si>
  <si>
    <t>1:09:42</t>
  </si>
  <si>
    <t>1:08:47</t>
  </si>
  <si>
    <t>1:14:54</t>
  </si>
  <si>
    <t>Snukis</t>
  </si>
  <si>
    <t>Samantha</t>
  </si>
  <si>
    <t>1:03:43</t>
  </si>
  <si>
    <t>1:04:30</t>
  </si>
  <si>
    <t>1:01:04</t>
  </si>
  <si>
    <t>1:02:02</t>
  </si>
  <si>
    <t>Kestner</t>
  </si>
  <si>
    <t>Cory</t>
  </si>
  <si>
    <t>1:05:08</t>
  </si>
  <si>
    <t>Tool</t>
  </si>
  <si>
    <t>1:05:59</t>
  </si>
  <si>
    <t>1:15:21</t>
  </si>
  <si>
    <t>Ingraham</t>
  </si>
  <si>
    <t>1:15:35</t>
  </si>
  <si>
    <t>Ruiz</t>
  </si>
  <si>
    <t>Nilsson</t>
  </si>
  <si>
    <t>0:59:12</t>
  </si>
  <si>
    <t>1:00:00</t>
  </si>
  <si>
    <t>1:02:15</t>
  </si>
  <si>
    <t>Noonan</t>
  </si>
  <si>
    <t>1:02:47</t>
  </si>
  <si>
    <t>CRCA / Team Veselka</t>
  </si>
  <si>
    <t>1:03:45</t>
  </si>
  <si>
    <t>1:05:25</t>
  </si>
  <si>
    <t>1:05:49</t>
  </si>
  <si>
    <t>Noland</t>
  </si>
  <si>
    <t>Arthur</t>
  </si>
  <si>
    <t>1:28:34</t>
  </si>
  <si>
    <t>0:52:04</t>
  </si>
  <si>
    <t>0:52:09</t>
  </si>
  <si>
    <t>0:53:09</t>
  </si>
  <si>
    <t>0:54:14</t>
  </si>
  <si>
    <t>0:54:26</t>
  </si>
  <si>
    <t>Schreiber</t>
  </si>
  <si>
    <t>Constantin</t>
  </si>
  <si>
    <t>0:56:01</t>
  </si>
  <si>
    <t>0:56:56</t>
  </si>
  <si>
    <t>Gibbons</t>
  </si>
  <si>
    <t>Automatic Endurance</t>
  </si>
  <si>
    <t>0:57:30</t>
  </si>
  <si>
    <t>0:58:39</t>
  </si>
  <si>
    <t>Crespo</t>
  </si>
  <si>
    <t>Mario Irvin</t>
  </si>
  <si>
    <t>1:01:03</t>
  </si>
  <si>
    <t>1:02:11</t>
  </si>
  <si>
    <t>1:04:53</t>
  </si>
  <si>
    <t>Mazur</t>
  </si>
  <si>
    <t>Jared</t>
  </si>
  <si>
    <t>JDRF Racing Team</t>
  </si>
  <si>
    <t>1:22:35</t>
  </si>
  <si>
    <t>1:04:37</t>
  </si>
  <si>
    <t>1:06:07</t>
  </si>
  <si>
    <t>1:11:41</t>
  </si>
  <si>
    <t>GERBOTH</t>
  </si>
  <si>
    <t>HANNA</t>
  </si>
  <si>
    <t>RICA</t>
  </si>
  <si>
    <t>LAVIGNE</t>
  </si>
  <si>
    <t>TANJUTCO</t>
  </si>
  <si>
    <t>LENNON</t>
  </si>
  <si>
    <t>PANHORST</t>
  </si>
  <si>
    <t>GOSLING</t>
  </si>
  <si>
    <t>DERINGER</t>
  </si>
  <si>
    <t>Cadence Racing</t>
  </si>
  <si>
    <t>ANDERSON</t>
  </si>
  <si>
    <t>ALLEN</t>
  </si>
  <si>
    <t>KAVANAUGH</t>
  </si>
  <si>
    <t>Team ProPower / Cycle Solutions</t>
  </si>
  <si>
    <t>SAXON</t>
  </si>
  <si>
    <t>GREHAN</t>
  </si>
  <si>
    <t>CARRIGLITTO</t>
  </si>
  <si>
    <t>WOLF</t>
  </si>
  <si>
    <t>MARION</t>
  </si>
  <si>
    <t>TSAPATSARIS</t>
  </si>
  <si>
    <t>FAYLE</t>
  </si>
  <si>
    <t>DAVALA</t>
  </si>
  <si>
    <t>TELSON</t>
  </si>
  <si>
    <t>PHILLIPS</t>
  </si>
  <si>
    <t>GRIFFIN</t>
  </si>
  <si>
    <t>BAYAT</t>
  </si>
  <si>
    <t>EMDE</t>
  </si>
  <si>
    <t>DONAHUE</t>
  </si>
  <si>
    <t>SAYERS</t>
  </si>
  <si>
    <t>ROCCO</t>
  </si>
  <si>
    <t>MARTIN</t>
  </si>
  <si>
    <t>NOLAND</t>
  </si>
  <si>
    <t>PETOUVIS</t>
  </si>
  <si>
    <t>KAELI</t>
  </si>
  <si>
    <t>MELVILLE</t>
  </si>
  <si>
    <t>SALING</t>
  </si>
  <si>
    <t>SCHIAVO</t>
  </si>
  <si>
    <t>HASSALL</t>
  </si>
  <si>
    <t>Woolco foods</t>
  </si>
  <si>
    <t>BADIA</t>
  </si>
  <si>
    <t>Triangle cyclists</t>
  </si>
  <si>
    <t>GRAYCE</t>
  </si>
  <si>
    <t>BRADLEY</t>
  </si>
  <si>
    <t>Team Altantic</t>
  </si>
  <si>
    <t>1:06:37</t>
  </si>
  <si>
    <t>PEREZ</t>
  </si>
  <si>
    <t>VELLUCCI</t>
  </si>
  <si>
    <t>TOOL</t>
  </si>
  <si>
    <t>DILAURENZIO</t>
  </si>
  <si>
    <t>ORAZEM</t>
  </si>
  <si>
    <t>Wooden Wheels Multisport</t>
  </si>
  <si>
    <t>SWANEY</t>
  </si>
  <si>
    <t>Dwight</t>
  </si>
  <si>
    <t>DUFFY</t>
  </si>
  <si>
    <t>BLEAKLEY</t>
  </si>
  <si>
    <t>IACHETTA</t>
  </si>
  <si>
    <t>PELAEZ</t>
  </si>
  <si>
    <t>WITCZAK</t>
  </si>
  <si>
    <t>HARRINGTON</t>
  </si>
  <si>
    <t>PROCIDA</t>
  </si>
  <si>
    <t>ELMORE</t>
  </si>
  <si>
    <t>PIPER</t>
  </si>
  <si>
    <t>HOVER</t>
  </si>
  <si>
    <t>CYCLES 54/ FIVE FOUR SPORTS</t>
  </si>
  <si>
    <t>CRONIN</t>
  </si>
  <si>
    <t>DETWEILER</t>
  </si>
  <si>
    <t>Blue Bell Wealth Management p/b</t>
  </si>
  <si>
    <t>WATTS</t>
  </si>
  <si>
    <t>Jeffrey</t>
  </si>
  <si>
    <t>Blue Bell Private Wealth Manage</t>
  </si>
  <si>
    <t>YURA</t>
  </si>
  <si>
    <t>TRUPPELLI</t>
  </si>
  <si>
    <t>Van Dessel Factory Team</t>
  </si>
  <si>
    <t>RODRIGUEZ</t>
  </si>
  <si>
    <t>TELLECHEA</t>
  </si>
  <si>
    <t>Collin</t>
  </si>
  <si>
    <t>24:48.3</t>
  </si>
  <si>
    <t>29:27.6</t>
  </si>
  <si>
    <t>19:19.3</t>
  </si>
  <si>
    <t>20:20.1</t>
  </si>
  <si>
    <t>22:43.3</t>
  </si>
  <si>
    <t>29:20.0</t>
  </si>
  <si>
    <t>GILLILAND</t>
  </si>
  <si>
    <t>CAROLAN</t>
  </si>
  <si>
    <t>DANIELEWICZ</t>
  </si>
  <si>
    <t>NASH</t>
  </si>
  <si>
    <t>CURRAN</t>
  </si>
  <si>
    <t>Knapps Cyclery Racing P/B Endur</t>
  </si>
  <si>
    <t>SAMBRANO</t>
  </si>
  <si>
    <t>COWIN</t>
  </si>
  <si>
    <t>DITULLIO</t>
  </si>
  <si>
    <t>CROCCO</t>
  </si>
  <si>
    <t>MAXTED</t>
  </si>
  <si>
    <t>Cycles 54 / Five Four Sports</t>
  </si>
  <si>
    <t>KRUUS</t>
  </si>
  <si>
    <t>JONES</t>
  </si>
  <si>
    <t>SCHUTAWIE</t>
  </si>
  <si>
    <t>Bikesport/Sly Fox Cycling Team</t>
  </si>
  <si>
    <t>BYRNE</t>
  </si>
  <si>
    <t>TOWNER</t>
  </si>
  <si>
    <t>Lawrence</t>
  </si>
  <si>
    <t>DALZELL</t>
  </si>
  <si>
    <t>FALLON</t>
  </si>
  <si>
    <t>BUCHANAN</t>
  </si>
  <si>
    <t>33:00.1</t>
  </si>
  <si>
    <t>SONN</t>
  </si>
  <si>
    <t>EASTERDAY</t>
  </si>
  <si>
    <t>Jen</t>
  </si>
  <si>
    <t>Wooden Wheels</t>
  </si>
  <si>
    <t>CLARK</t>
  </si>
  <si>
    <t>MUELLER</t>
  </si>
  <si>
    <t>VON KNORRING</t>
  </si>
  <si>
    <t>FRANCO</t>
  </si>
  <si>
    <t>CONE</t>
  </si>
  <si>
    <t>CUTLER</t>
  </si>
  <si>
    <t>HARDY</t>
  </si>
  <si>
    <t>TYRELL</t>
  </si>
  <si>
    <t>RAGONESE</t>
  </si>
  <si>
    <t>TWER</t>
  </si>
  <si>
    <t>DAVIS</t>
  </si>
  <si>
    <t>Jeanne</t>
  </si>
  <si>
    <t>Carolina</t>
  </si>
  <si>
    <t>41:29.9</t>
  </si>
  <si>
    <t>33:13.4</t>
  </si>
  <si>
    <t>Harrington</t>
  </si>
  <si>
    <t>BYRNY Racing LLC</t>
  </si>
  <si>
    <t>Piper</t>
  </si>
  <si>
    <t>Yura</t>
  </si>
  <si>
    <t>Truppelli</t>
  </si>
  <si>
    <t>Tellechea</t>
  </si>
  <si>
    <t>MARGARITE</t>
  </si>
  <si>
    <t>CARR</t>
  </si>
  <si>
    <t>CRCA/E2VALUE P/B VERGE SPORT</t>
  </si>
  <si>
    <t>SKYLANDS CYCLING</t>
  </si>
  <si>
    <t>CRANK ADDICTS P/B HILLTOP</t>
  </si>
  <si>
    <t>POST</t>
  </si>
  <si>
    <t>Erik</t>
  </si>
  <si>
    <t>KNAPP'S CYCLERY RACING P/B ENDU</t>
  </si>
  <si>
    <t>GARDNER</t>
  </si>
  <si>
    <t>TORCUP CYCLING</t>
  </si>
  <si>
    <t>SEDLAK</t>
  </si>
  <si>
    <t>WATTS UP CYCLING</t>
  </si>
  <si>
    <t>MALAVARCA</t>
  </si>
  <si>
    <t>TEAM PROPOWER CYCLE SOLUTIONS</t>
  </si>
  <si>
    <t>CRCA/THE WEATHER CHANNEL</t>
  </si>
  <si>
    <t>CRCA / THE WEATHER CHANNEL</t>
  </si>
  <si>
    <t>TILLMAN</t>
  </si>
  <si>
    <t>FIF CYCLING</t>
  </si>
  <si>
    <t>UNION FOOLS</t>
  </si>
  <si>
    <t>MAGLIO</t>
  </si>
  <si>
    <t>Dominic</t>
  </si>
  <si>
    <t>HUDSON VALLEY CYCLING</t>
  </si>
  <si>
    <t>SEMONSKY</t>
  </si>
  <si>
    <t>PANIAGUA CYCLING</t>
  </si>
  <si>
    <t>RASTA RETURNS</t>
  </si>
  <si>
    <t>MASSETTI</t>
  </si>
  <si>
    <t>GOODRICH</t>
  </si>
  <si>
    <t>BTR TRAINING AND RACING</t>
  </si>
  <si>
    <t>GEISER</t>
  </si>
  <si>
    <t>BEACHWOOD BICYCLES</t>
  </si>
  <si>
    <t>MORALES</t>
  </si>
  <si>
    <t>FIREHOUSE CYCLES</t>
  </si>
  <si>
    <t>APOSTOLYUK</t>
  </si>
  <si>
    <t>Igor</t>
  </si>
  <si>
    <t>COLLINS</t>
  </si>
  <si>
    <t>TTENDURANCE</t>
  </si>
  <si>
    <t>YU</t>
  </si>
  <si>
    <t>Milton</t>
  </si>
  <si>
    <t>JOHNSTON</t>
  </si>
  <si>
    <t>US MILITARY ENDURANCE SPORTS</t>
  </si>
  <si>
    <t>SPILKA</t>
  </si>
  <si>
    <t>WESTWOOD VELO</t>
  </si>
  <si>
    <t>Vadym</t>
  </si>
  <si>
    <t>REDLINED RACING</t>
  </si>
  <si>
    <t>VILLANI</t>
  </si>
  <si>
    <t>TEAM SOMERSET</t>
  </si>
  <si>
    <t>GAMMEL</t>
  </si>
  <si>
    <t>BOCK</t>
  </si>
  <si>
    <t>Sean</t>
  </si>
  <si>
    <t>PINK FLAMINGOS</t>
  </si>
  <si>
    <t>PARRY</t>
  </si>
  <si>
    <t>RUNGGATSCHER</t>
  </si>
  <si>
    <t>FINKRAFT CYCLING TEAM</t>
  </si>
  <si>
    <t>HYMAN</t>
  </si>
  <si>
    <t>IRON BRIDGE/TARMAC CYCLING</t>
  </si>
  <si>
    <t>LAMB</t>
  </si>
  <si>
    <t>TEAM PROPOWER/CYCLE SOLUTIONS</t>
  </si>
  <si>
    <t>BYRNE RACING LLC</t>
  </si>
  <si>
    <t>WARMUTH</t>
  </si>
  <si>
    <t>TEAM SRG</t>
  </si>
  <si>
    <t>KISSENA CYCLING CLUB</t>
  </si>
  <si>
    <t>ORIGIN PERFORMANCE</t>
  </si>
  <si>
    <t>PRO PEDALS BIKE SHOP</t>
  </si>
  <si>
    <t>TEAM PROPOWER / CYCLE SOLUTIONS</t>
  </si>
  <si>
    <t>ROYO</t>
  </si>
  <si>
    <t>CYCLES 54 / FIVE FOUR SPORTS</t>
  </si>
  <si>
    <t>DAWSON</t>
  </si>
  <si>
    <t>O'NEILL</t>
  </si>
  <si>
    <t>CRCA/DENO'S WONDER WHEEL</t>
  </si>
  <si>
    <t>MARTI</t>
  </si>
  <si>
    <t>MACLAGA</t>
  </si>
  <si>
    <t>COLAVITA RACING</t>
  </si>
  <si>
    <t>BAUCH</t>
  </si>
  <si>
    <t>HANFORD</t>
  </si>
  <si>
    <t>Samuel R</t>
  </si>
  <si>
    <t>CCAP</t>
  </si>
  <si>
    <t>LIBERTY CYCLE</t>
  </si>
  <si>
    <t>COOKE</t>
  </si>
  <si>
    <t>A STILL SMALL VOICE</t>
  </si>
  <si>
    <t>NYCC</t>
  </si>
  <si>
    <t>WEAVER</t>
  </si>
  <si>
    <t>Carl</t>
  </si>
  <si>
    <t>PARAMOUNT MULTISPORT</t>
  </si>
  <si>
    <t>EGNOR</t>
  </si>
  <si>
    <t>TEAM ALTANTIC</t>
  </si>
  <si>
    <t>VANTEYENS</t>
  </si>
  <si>
    <t>DONNELLY</t>
  </si>
  <si>
    <t>BOARDMAN</t>
  </si>
  <si>
    <t>CRCA / ROCKSTAR GAMES</t>
  </si>
  <si>
    <t>BROWN</t>
  </si>
  <si>
    <t>ART OF CYCLING NYC</t>
  </si>
  <si>
    <t>BOTTOMS</t>
  </si>
  <si>
    <t>Pj</t>
  </si>
  <si>
    <t>HAMILTON</t>
  </si>
  <si>
    <t>SONIES</t>
  </si>
  <si>
    <t>CRCA/JORDAN RACING</t>
  </si>
  <si>
    <t>TREMAINE</t>
  </si>
  <si>
    <t>Brett</t>
  </si>
  <si>
    <t>BALTIKAS</t>
  </si>
  <si>
    <t>Nate</t>
  </si>
  <si>
    <t>SCHNEE</t>
  </si>
  <si>
    <t>Marek</t>
  </si>
  <si>
    <t>DOWN CYCLES</t>
  </si>
  <si>
    <t>GAROFALO</t>
  </si>
  <si>
    <t>LAUF</t>
  </si>
  <si>
    <t>ROSS</t>
  </si>
  <si>
    <t>TORMEY</t>
  </si>
  <si>
    <t>BRIELLE CYCLERY CLUB TEAM</t>
  </si>
  <si>
    <t>GRISHINA</t>
  </si>
  <si>
    <t>Olga</t>
  </si>
  <si>
    <t>FELDMAN</t>
  </si>
  <si>
    <t>TEAM MARTY'S</t>
  </si>
  <si>
    <t>RABINOWITZ</t>
  </si>
  <si>
    <t>Sarena</t>
  </si>
  <si>
    <t>EVEPC</t>
  </si>
  <si>
    <t>BJL COACHING</t>
  </si>
  <si>
    <t>KRETSCHMAN</t>
  </si>
  <si>
    <t>Claudia</t>
  </si>
  <si>
    <t>KRETSCHMAN MULTISPORT</t>
  </si>
  <si>
    <t>SEIDENMAN</t>
  </si>
  <si>
    <t>Michal</t>
  </si>
  <si>
    <t>CALLEO</t>
  </si>
  <si>
    <t>Gina</t>
  </si>
  <si>
    <t>TEAM EPS/M3 P/B BRIELLE CYCLERY</t>
  </si>
  <si>
    <t>GALE</t>
  </si>
  <si>
    <t>CRCA/BREAKAWAY COURIER</t>
  </si>
  <si>
    <t>LINSCOTT</t>
  </si>
  <si>
    <t>Jocelyn</t>
  </si>
  <si>
    <t>RESCUE RACING</t>
  </si>
  <si>
    <t>Gammel</t>
  </si>
  <si>
    <t>Bock</t>
  </si>
  <si>
    <t>Pink Flamingos</t>
  </si>
  <si>
    <t>Weaver</t>
  </si>
  <si>
    <t>Feldman</t>
  </si>
  <si>
    <t>Lauf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</si>
</sst>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theme="1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7">
    <xf numFmtId="0" fontId="0" fillId="0" borderId="0" xfId="0"/>
    <xf numFmtId="0" fontId="0" fillId="0" borderId="2" xfId="0" applyFont="1" applyBorder="1"/>
    <xf numFmtId="49" fontId="0" fillId="0" borderId="0" xfId="0" applyNumberFormat="1"/>
    <xf numFmtId="49" fontId="0" fillId="0" borderId="2" xfId="0" applyNumberFormat="1" applyFont="1" applyBorder="1"/>
    <xf numFmtId="0" fontId="2" fillId="2" borderId="0" xfId="0" applyFont="1" applyFill="1" applyBorder="1"/>
    <xf numFmtId="49" fontId="2" fillId="2" borderId="0" xfId="0" applyNumberFormat="1" applyFont="1" applyFill="1" applyBorder="1"/>
    <xf numFmtId="0" fontId="0" fillId="0" borderId="0" xfId="0" applyFont="1" applyBorder="1"/>
    <xf numFmtId="0" fontId="3" fillId="0" borderId="0" xfId="1" applyFont="1" applyBorder="1"/>
    <xf numFmtId="0" fontId="4" fillId="0" borderId="0" xfId="0" applyFont="1"/>
    <xf numFmtId="0" fontId="4" fillId="0" borderId="0" xfId="0" applyFont="1" applyAlignment="1">
      <alignment horizontal="center"/>
    </xf>
    <xf numFmtId="0" fontId="3" fillId="0" borderId="1" xfId="1" applyFont="1"/>
    <xf numFmtId="0" fontId="5" fillId="2" borderId="0" xfId="0" applyFont="1" applyFill="1" applyBorder="1"/>
    <xf numFmtId="0" fontId="5" fillId="2" borderId="0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2" xfId="0" applyFont="1" applyBorder="1"/>
    <xf numFmtId="0" fontId="4" fillId="0" borderId="0" xfId="0" applyFont="1" applyBorder="1"/>
    <xf numFmtId="49" fontId="4" fillId="0" borderId="0" xfId="0" applyNumberFormat="1" applyFont="1"/>
    <xf numFmtId="49" fontId="4" fillId="0" borderId="2" xfId="0" applyNumberFormat="1" applyFont="1" applyBorder="1"/>
    <xf numFmtId="0" fontId="4" fillId="0" borderId="2" xfId="0" applyNumberFormat="1" applyFont="1" applyBorder="1" applyAlignment="1">
      <alignment horizontal="center"/>
    </xf>
    <xf numFmtId="49" fontId="4" fillId="0" borderId="0" xfId="0" applyNumberFormat="1" applyFont="1" applyBorder="1"/>
    <xf numFmtId="49" fontId="0" fillId="0" borderId="0" xfId="0" applyNumberFormat="1" applyFont="1" applyBorder="1"/>
    <xf numFmtId="0" fontId="4" fillId="0" borderId="0" xfId="0" applyNumberFormat="1" applyFont="1" applyBorder="1" applyAlignment="1">
      <alignment horizontal="center"/>
    </xf>
    <xf numFmtId="0" fontId="0" fillId="0" borderId="0" xfId="0" applyNumberFormat="1"/>
    <xf numFmtId="0" fontId="0" fillId="0" borderId="2" xfId="0" applyNumberFormat="1" applyFont="1" applyBorder="1"/>
    <xf numFmtId="0" fontId="4" fillId="0" borderId="0" xfId="0" applyNumberFormat="1" applyFont="1" applyAlignment="1">
      <alignment horizontal="center"/>
    </xf>
    <xf numFmtId="0" fontId="0" fillId="0" borderId="2" xfId="0" applyFont="1" applyBorder="1" applyAlignment="1">
      <alignment horizontal="center"/>
    </xf>
    <xf numFmtId="47" fontId="0" fillId="0" borderId="0" xfId="0" applyNumberFormat="1"/>
    <xf numFmtId="47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49" fontId="2" fillId="2" borderId="0" xfId="0" applyNumberFormat="1" applyFont="1" applyFill="1" applyBorder="1" applyAlignment="1">
      <alignment horizontal="left"/>
    </xf>
    <xf numFmtId="49" fontId="0" fillId="0" borderId="2" xfId="0" applyNumberFormat="1" applyFont="1" applyBorder="1" applyAlignment="1">
      <alignment horizontal="left"/>
    </xf>
    <xf numFmtId="49" fontId="0" fillId="0" borderId="0" xfId="0" applyNumberFormat="1" applyFont="1" applyBorder="1" applyAlignment="1">
      <alignment horizontal="left"/>
    </xf>
    <xf numFmtId="0" fontId="0" fillId="0" borderId="0" xfId="0" applyNumberFormat="1" applyFont="1" applyBorder="1"/>
    <xf numFmtId="0" fontId="0" fillId="0" borderId="2" xfId="0" applyBorder="1"/>
    <xf numFmtId="0" fontId="0" fillId="0" borderId="3" xfId="0" applyBorder="1"/>
    <xf numFmtId="0" fontId="0" fillId="0" borderId="3" xfId="0" applyFont="1" applyBorder="1"/>
    <xf numFmtId="0" fontId="0" fillId="0" borderId="4" xfId="0" applyFont="1" applyBorder="1"/>
    <xf numFmtId="0" fontId="0" fillId="0" borderId="5" xfId="0" applyFont="1" applyBorder="1"/>
    <xf numFmtId="164" fontId="0" fillId="0" borderId="2" xfId="0" applyNumberFormat="1" applyFont="1" applyBorder="1"/>
    <xf numFmtId="164" fontId="0" fillId="0" borderId="2" xfId="0" applyNumberFormat="1" applyBorder="1"/>
    <xf numFmtId="164" fontId="0" fillId="0" borderId="4" xfId="0" applyNumberFormat="1" applyFont="1" applyBorder="1"/>
    <xf numFmtId="164" fontId="0" fillId="0" borderId="0" xfId="0" applyNumberFormat="1"/>
    <xf numFmtId="164" fontId="0" fillId="0" borderId="0" xfId="0" applyNumberFormat="1" applyFont="1" applyBorder="1"/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2">
    <cellStyle name="Heading 2" xfId="1" builtinId="17"/>
    <cellStyle name="Normal" xfId="0" builtinId="0"/>
  </cellStyles>
  <dxfs count="2199">
    <dxf>
      <fill>
        <patternFill patternType="lightUp">
          <fgColor rgb="FFFF0000"/>
          <bgColor theme="0"/>
        </patternFill>
      </fill>
    </dxf>
    <dxf>
      <fill>
        <patternFill patternType="lightUp">
          <fgColor rgb="FFFF0000"/>
          <bgColor theme="0"/>
        </patternFill>
      </fill>
    </dxf>
    <dxf>
      <fill>
        <patternFill patternType="lightUp">
          <fgColor rgb="FFFF0000"/>
          <bgColor theme="0"/>
        </patternFill>
      </fill>
    </dxf>
    <dxf>
      <fill>
        <patternFill patternType="lightUp">
          <fgColor rgb="FFFF0000"/>
          <bgColor theme="0"/>
        </patternFill>
      </fill>
    </dxf>
    <dxf>
      <fill>
        <patternFill patternType="lightUp">
          <fgColor rgb="FFFF0000"/>
          <bgColor theme="0"/>
        </patternFill>
      </fill>
    </dxf>
    <dxf>
      <fill>
        <patternFill patternType="lightUp">
          <fgColor rgb="FFFF0000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9" formatCode="mm:ss.0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9" formatCode="mm:ss.0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9" formatCode="mm:ss.0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9" formatCode="mm:ss.0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9" formatCode="mm:ss.0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9" formatCode="mm:ss.0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9" formatCode="mm:ss.0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9" formatCode="mm:ss.0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9" formatCode="mm:ss.0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9" formatCode="mm:ss.0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9" formatCode="mm:ss.0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29" formatCode="mm:ss.0"/>
      <alignment horizontal="left" vertical="bottom" textRotation="0" wrapText="0" indent="0" justifyLastLine="0" shrinkToFit="0" readingOrder="0"/>
    </dxf>
    <dxf>
      <numFmt numFmtId="30" formatCode="@"/>
    </dxf>
    <dxf>
      <numFmt numFmtId="0" formatCode="General"/>
    </dxf>
    <dxf>
      <numFmt numFmtId="29" formatCode="mm:ss.0"/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29" formatCode="mm:ss.0"/>
      <alignment horizontal="left" vertical="bottom" textRotation="0" wrapText="0" indent="0" justifyLastLine="0" shrinkToFit="0" readingOrder="0"/>
    </dxf>
    <dxf>
      <numFmt numFmtId="0" formatCode="General"/>
    </dxf>
    <dxf>
      <fill>
        <patternFill patternType="lightUp">
          <f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9" formatCode="mm:ss.0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$-F400]h:mm:ss\ AM/PM"/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9" formatCode="mm:ss.0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64" formatCode="[$-F400]h:mm:ss\ AM/PM"/>
      <alignment horizontal="left" vertical="bottom" textRotation="0" wrapText="0" indent="0" justifyLastLine="0" shrinkToFit="0" readingOrder="0"/>
    </dxf>
    <dxf>
      <numFmt numFmtId="0" formatCode="General"/>
    </dxf>
    <dxf>
      <fill>
        <patternFill patternType="lightUp">
          <f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$-F400]h:mm:ss\ AM/PM"/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64" formatCode="[$-F400]h:mm:ss\ AM/PM"/>
      <alignment horizontal="left" vertical="bottom" textRotation="0" wrapText="0" indent="0" justifyLastLine="0" shrinkToFit="0" readingOrder="0"/>
    </dxf>
    <dxf>
      <numFmt numFmtId="0" formatCode="General"/>
    </dxf>
    <dxf>
      <fill>
        <patternFill patternType="lightUp">
          <f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9" formatCode="mm:ss.0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0" formatCode="General"/>
    </dxf>
    <dxf>
      <fill>
        <patternFill patternType="lightUp">
          <fgColor rgb="FFFF0000"/>
          <bgColor theme="0"/>
        </patternFill>
      </fill>
    </dxf>
    <dxf>
      <fill>
        <patternFill patternType="lightUp">
          <f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9" formatCode="mm:ss.0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0" formatCode="General"/>
    </dxf>
    <dxf>
      <fill>
        <patternFill patternType="lightUp">
          <fgColor rgb="FFFF0000"/>
          <bgColor theme="0"/>
        </patternFill>
      </fill>
    </dxf>
    <dxf>
      <fill>
        <patternFill patternType="lightUp">
          <f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9" formatCode="mm:ss.0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0" formatCode="General"/>
    </dxf>
    <dxf>
      <fill>
        <patternFill patternType="lightUp">
          <fgColor rgb="FFFF0000"/>
          <bgColor theme="0"/>
        </patternFill>
      </fill>
    </dxf>
    <dxf>
      <fill>
        <patternFill patternType="lightUp">
          <f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9" formatCode="mm:ss.0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0" formatCode="General"/>
    </dxf>
    <dxf>
      <fill>
        <patternFill patternType="lightUp">
          <fgColor rgb="FFFF0000"/>
          <bgColor theme="0"/>
        </patternFill>
      </fill>
    </dxf>
    <dxf>
      <fill>
        <patternFill patternType="lightUp">
          <f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9" formatCode="mm:ss.0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0" formatCode="General"/>
    </dxf>
    <dxf>
      <fill>
        <patternFill patternType="lightUp">
          <fgColor rgb="FFFF0000"/>
          <bgColor theme="0"/>
        </patternFill>
      </fill>
    </dxf>
    <dxf>
      <fill>
        <patternFill patternType="lightUp">
          <fgColor rgb="FFFF0000"/>
        </patternFill>
      </fill>
    </dxf>
    <dxf>
      <fill>
        <patternFill patternType="lightUp">
          <fgColor rgb="FFFF0000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fill>
        <patternFill patternType="lightUp">
          <fgColor rgb="FFFF0000"/>
        </patternFill>
      </fill>
    </dxf>
    <dxf>
      <fill>
        <patternFill patternType="lightUp">
          <fgColor rgb="FFFF0000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fill>
        <patternFill patternType="lightUp">
          <fgColor rgb="FFFF0000"/>
        </patternFill>
      </fill>
    </dxf>
    <dxf>
      <fill>
        <patternFill patternType="lightUp">
          <fgColor rgb="FFFF0000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1"/>
        </top>
        <bottom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</dxf>
    <dxf>
      <font>
        <color theme="0" tint="-4.9989318521683403E-2"/>
      </font>
      <fill>
        <patternFill patternType="none">
          <bgColor auto="1"/>
        </patternFill>
      </fill>
    </dxf>
    <dxf>
      <fill>
        <patternFill patternType="lightUp">
          <fgColor rgb="FFFF0000"/>
          <bgColor theme="0"/>
        </patternFill>
      </fill>
    </dxf>
    <dxf>
      <fill>
        <patternFill patternType="lightUp">
          <fgColor rgb="FFFF0000"/>
          <bgColor theme="0"/>
        </patternFill>
      </fill>
    </dxf>
    <dxf>
      <fill>
        <patternFill patternType="lightUp">
          <fgColor rgb="FFFF0000"/>
          <bgColor theme="0"/>
        </patternFill>
      </fill>
    </dxf>
    <dxf>
      <fill>
        <patternFill patternType="lightUp">
          <fgColor rgb="FFFF0000"/>
          <bgColor theme="0"/>
        </patternFill>
      </fill>
    </dxf>
    <dxf>
      <fill>
        <patternFill patternType="lightUp">
          <fgColor rgb="FFFF0000"/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3BD3F0F-32F3-4C45-AD41-57078DCD2952}" name="Table23" displayName="Table23" ref="A5:Q38" totalsRowShown="0" headerRowDxfId="2192" dataDxfId="2191">
  <autoFilter ref="A5:Q38" xr:uid="{F8B584E6-E491-4C86-AA58-A22F8A345EA6}"/>
  <sortState ref="A6:Q38">
    <sortCondition descending="1" ref="Q5:Q38"/>
  </sortState>
  <tableColumns count="17">
    <tableColumn id="1" xr3:uid="{B4FB3822-4EF9-43A9-A060-7BB0C3E056C4}" name="Last" dataDxfId="2190"/>
    <tableColumn id="2" xr3:uid="{EE9C39B1-D1CD-43E9-A693-C6064A9213DA}" name="First" dataDxfId="2189"/>
    <tableColumn id="3" xr3:uid="{1B1162B1-155F-4DBC-B00D-91513CCB687B}" name="Team" dataDxfId="2188"/>
    <tableColumn id="5" xr3:uid="{D7074DED-79AF-48D3-8696-4D2476D73387}" name="1" dataDxfId="2187"/>
    <tableColumn id="6" xr3:uid="{40533169-977A-4D51-A622-3A963D1DBA47}" name="2" dataDxfId="2186"/>
    <tableColumn id="7" xr3:uid="{6EC7B5D3-381B-40F9-84B3-22DC46694E96}" name="3" dataDxfId="2185"/>
    <tableColumn id="8" xr3:uid="{CBDCFBC5-C6EF-4389-A4BF-7567F68B8845}" name="4" dataDxfId="2184"/>
    <tableColumn id="9" xr3:uid="{79E09027-0AB3-41FE-B7F0-CE1BC6A9274F}" name="5" dataDxfId="2183"/>
    <tableColumn id="10" xr3:uid="{D41CED9E-B773-4E95-B57E-CDCD3272F78B}" name="6" dataDxfId="2182"/>
    <tableColumn id="11" xr3:uid="{4AC02ADF-C26E-49E6-9613-A584404531A6}" name="7" dataDxfId="2181"/>
    <tableColumn id="12" xr3:uid="{3486D6C0-5EE9-4982-A404-C7FFCD41EA89}" name="8" dataDxfId="2180"/>
    <tableColumn id="13" xr3:uid="{5A0BFD0A-F853-48F9-9387-8016739E4997}" name="9" dataDxfId="2179"/>
    <tableColumn id="14" xr3:uid="{8C776C29-5226-4020-B8B6-68F64A0DCD10}" name="10" dataDxfId="2178"/>
    <tableColumn id="15" xr3:uid="{E28B44DC-3B6C-4A62-98F5-4E5D6DFA9A2B}" name="11" dataDxfId="2177"/>
    <tableColumn id="16" xr3:uid="{1D2C7F1C-5F80-4110-B8EE-022E5E6CF6CB}" name="12" dataDxfId="2176"/>
    <tableColumn id="17" xr3:uid="{E4ECEE5F-236E-4207-8BAB-5B4B73018F8F}" name="Overall" dataDxfId="2175">
      <calculatedColumnFormula>SUM(D6:O6)</calculatedColumnFormula>
    </tableColumn>
    <tableColumn id="18" xr3:uid="{34200549-2CF8-4867-AD5E-73EFDCDC8400}" name="Cup" dataDxfId="2174">
      <calculatedColumnFormula>P6-IFERROR(SMALL(D6:INDIRECT(ADDRESS(ROW(),4+Settings[Value])), 1),0)-IFERROR(SMALL(D6:INDIRECT(ADDRESS(ROW(),4+Settings[Value])),2),0)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626FDA6-7ECC-4B3D-9D59-74B4A89ADB82}" name="Table24" displayName="Table24" ref="A41:Q54" totalsRowShown="0" headerRowDxfId="2173" dataDxfId="2172" tableBorderDxfId="2171">
  <autoFilter ref="A41:Q54" xr:uid="{901F571F-D91B-4274-937D-DDE54ECB6673}"/>
  <sortState ref="A42:Q54">
    <sortCondition descending="1" ref="Q41:Q54"/>
  </sortState>
  <tableColumns count="17">
    <tableColumn id="1" xr3:uid="{A5A2A5FA-38D3-49D1-88C1-09E58ECE36F6}" name="Last" dataDxfId="2170"/>
    <tableColumn id="2" xr3:uid="{9BD50B1E-E855-46F5-825A-DC7C82CC1E55}" name="First" dataDxfId="2169"/>
    <tableColumn id="3" xr3:uid="{295BA69A-E339-4C9F-9607-0E9307D63F5E}" name="Team" dataDxfId="2168"/>
    <tableColumn id="4" xr3:uid="{7E833940-E060-48A3-BC52-8BFA15F30636}" name="1" dataDxfId="2167"/>
    <tableColumn id="5" xr3:uid="{74E45E94-EACF-4BD5-AB77-768AA9AD25F2}" name="2" dataDxfId="2166"/>
    <tableColumn id="6" xr3:uid="{8B6E5904-5E4F-492B-8FB3-ADDEB75A10C9}" name="3" dataDxfId="2165"/>
    <tableColumn id="7" xr3:uid="{A8C71CE9-C1FB-4F03-BF65-8241FCBD82E1}" name="4" dataDxfId="2164"/>
    <tableColumn id="8" xr3:uid="{7F3530A2-42C6-4FF8-A94B-E7742872757B}" name="5" dataDxfId="2163"/>
    <tableColumn id="9" xr3:uid="{D14E2D43-35E6-48A9-8AF5-C722F490E445}" name="6" dataDxfId="2162"/>
    <tableColumn id="10" xr3:uid="{AF61C865-45ED-4E7E-989E-3F1166BDE8EF}" name="7" dataDxfId="2161"/>
    <tableColumn id="11" xr3:uid="{31DF5380-A39C-452B-A9C3-6830DBE79F5E}" name="8" dataDxfId="2160"/>
    <tableColumn id="12" xr3:uid="{477F1585-76AE-402C-A4BC-F0ED174DDEF9}" name="9" dataDxfId="2159"/>
    <tableColumn id="13" xr3:uid="{329DD4C2-B5FD-4B63-91A3-D3D437220939}" name="10" dataDxfId="2158"/>
    <tableColumn id="14" xr3:uid="{228FA98D-68CA-4D88-A78D-70FBD5D8273E}" name="11" dataDxfId="2157"/>
    <tableColumn id="15" xr3:uid="{D225FEB5-F886-4563-89F2-9FCBA6CBFE29}" name="12" dataDxfId="2156"/>
    <tableColumn id="16" xr3:uid="{ABF13A55-50F4-4E97-B1BC-9F031600D8E0}" name="Overall" dataDxfId="2155">
      <calculatedColumnFormula>SUM(D42:O42)</calculatedColumnFormula>
    </tableColumn>
    <tableColumn id="17" xr3:uid="{5E707E84-B007-4929-9980-321DCC313078}" name="Cup" dataDxfId="2154">
      <calculatedColumnFormula>P42-IFERROR(SMALL(D42:INDIRECT(ADDRESS(ROW(),4+Settings[Value])), 1),0)-IFERROR(SMALL(D42:INDIRECT(ADDRESS(ROW(),4+Settings[Value])),2),0)</calculatedColumnFormula>
    </tableColumn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E3270528-E940-4E99-8DFB-917BBFCC9213}" name="Table25" displayName="Table25" ref="A60:Q71" totalsRowShown="0" headerRowDxfId="2153" dataDxfId="2152" tableBorderDxfId="2151">
  <autoFilter ref="A60:Q71" xr:uid="{EF215394-2D76-4FEB-B726-C40C264461B2}"/>
  <sortState ref="A61:Q71">
    <sortCondition descending="1" ref="Q60:Q71"/>
  </sortState>
  <tableColumns count="17">
    <tableColumn id="1" xr3:uid="{958F5B7B-1C78-4C39-968B-5CC69839732A}" name="Last" dataDxfId="2150"/>
    <tableColumn id="2" xr3:uid="{B28EDD6E-7E90-4547-852B-D24D5B03FEED}" name="First" dataDxfId="2149"/>
    <tableColumn id="17" xr3:uid="{D05A500E-4E3D-4D26-9120-61C00D7FCD27}" name="Team" dataDxfId="2148"/>
    <tableColumn id="3" xr3:uid="{5CD5F7C7-C221-4115-831C-6214168EF781}" name="1" dataDxfId="2147"/>
    <tableColumn id="4" xr3:uid="{6094F2AE-185F-4EC5-A098-A84A4BBE3AC6}" name="2" dataDxfId="2146"/>
    <tableColumn id="5" xr3:uid="{BC344880-96E5-4161-840F-602021A13B92}" name="3" dataDxfId="2145"/>
    <tableColumn id="6" xr3:uid="{F9BD1500-323F-4F5D-B386-00371AC8F27B}" name="4" dataDxfId="2144"/>
    <tableColumn id="7" xr3:uid="{80F7862A-E28E-4CB3-BC94-E2472023CAD0}" name="5" dataDxfId="2143"/>
    <tableColumn id="8" xr3:uid="{7CA74E6D-A404-4CEF-8917-8FF4F073538A}" name="6" dataDxfId="2142"/>
    <tableColumn id="9" xr3:uid="{7F5233F4-2232-480C-8D9F-599C028BB7CD}" name="7" dataDxfId="2141"/>
    <tableColumn id="10" xr3:uid="{BF71AC24-5702-43BA-8E62-5B0FD0828FDA}" name="8" dataDxfId="2140"/>
    <tableColumn id="11" xr3:uid="{7BFEFFA2-C175-47B2-90CB-75466BAE8C56}" name="9" dataDxfId="2139"/>
    <tableColumn id="12" xr3:uid="{A685CEC7-C62A-4C5F-B077-2D45ED80A524}" name="10" dataDxfId="2138"/>
    <tableColumn id="13" xr3:uid="{AAE8B8A7-C373-47C6-A811-D22E7FF7ED1E}" name="11" dataDxfId="2137"/>
    <tableColumn id="14" xr3:uid="{B9109FF4-F72A-49B1-89C5-BB8F4CD07544}" name="12" dataDxfId="2136"/>
    <tableColumn id="15" xr3:uid="{2E744E94-FF04-470D-B2E4-A014CAE1A69B}" name="Overall" dataDxfId="2135">
      <calculatedColumnFormula>SUM(D61:O61)</calculatedColumnFormula>
    </tableColumn>
    <tableColumn id="16" xr3:uid="{30779498-2259-4B3E-8904-ABEFE87BC625}" name="Cup" dataDxfId="2134">
      <calculatedColumnFormula>P61-IFERROR(SMALL(D61:INDIRECT(ADDRESS(ROW(),4+Settings[Value])), 1),0)-IFERROR(SMALL(D61:INDIRECT(ADDRESS(ROW(),4+Settings[Value])),2),0)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EB224226-E7D2-4638-94FA-CFC8C78FEBEA}" name="Table26" displayName="Table26" ref="A74:Q82" totalsRowShown="0" headerRowDxfId="2133" dataDxfId="2132" tableBorderDxfId="2131">
  <autoFilter ref="A74:Q82" xr:uid="{C0E32DC2-2927-4FCF-9DA1-6A378A3A6DF1}"/>
  <sortState ref="A75:Q82">
    <sortCondition descending="1" ref="Q74:Q82"/>
  </sortState>
  <tableColumns count="17">
    <tableColumn id="1" xr3:uid="{AC1E7A7A-C4BB-4A2B-A017-FE78834BD1F6}" name="Last" dataDxfId="2130"/>
    <tableColumn id="2" xr3:uid="{C7C25CBF-8753-4CD9-A760-18EFDCDB3108}" name="First" dataDxfId="2129"/>
    <tableColumn id="17" xr3:uid="{6CBCEF23-73DC-444E-AD54-2A3CAB84F55E}" name="Team" dataDxfId="2128"/>
    <tableColumn id="3" xr3:uid="{04A714A8-1CD4-474A-B7FD-404777B7EE30}" name="1" dataDxfId="2127"/>
    <tableColumn id="4" xr3:uid="{2CCCF4EA-AED4-417B-BC9C-3EE788F40C9F}" name="2" dataDxfId="2126"/>
    <tableColumn id="5" xr3:uid="{CAEEF2C5-7AFB-4795-B12B-51AB9045EE69}" name="3" dataDxfId="2125"/>
    <tableColumn id="6" xr3:uid="{215644FA-8A0C-439B-AB27-896FB1062E39}" name="4" dataDxfId="2124"/>
    <tableColumn id="7" xr3:uid="{C24BB44F-EBAC-4A7D-8C40-F8BDFC2CB333}" name="5" dataDxfId="2123"/>
    <tableColumn id="8" xr3:uid="{4705B072-20B0-4033-9A52-548A458A8D95}" name="6" dataDxfId="2122"/>
    <tableColumn id="9" xr3:uid="{2A8A911D-F7C2-4E4D-9AF5-B56282E16643}" name="7" dataDxfId="2121"/>
    <tableColumn id="10" xr3:uid="{1D636D7F-AA98-4233-B11D-387D2A80096E}" name="8" dataDxfId="2120"/>
    <tableColumn id="11" xr3:uid="{837058CF-4474-4048-AD05-65D3D603359A}" name="9" dataDxfId="2119"/>
    <tableColumn id="12" xr3:uid="{3E8905AC-37DE-4125-B004-CEC1D3B6FC09}" name="10" dataDxfId="2118"/>
    <tableColumn id="13" xr3:uid="{6C29CC59-336D-4422-ADD3-6BE47529D850}" name="11" dataDxfId="2117"/>
    <tableColumn id="14" xr3:uid="{E1908851-21E3-433E-A254-9AB8946BAD8F}" name="12" dataDxfId="2116"/>
    <tableColumn id="15" xr3:uid="{C3D44C0B-C215-463C-893B-6A17BC8732D9}" name="Overall" dataDxfId="2115">
      <calculatedColumnFormula>SUM(D75:O75)</calculatedColumnFormula>
    </tableColumn>
    <tableColumn id="16" xr3:uid="{78C6F54C-6F15-48B6-9656-E2E8392B9329}" name="Cup" dataDxfId="2114">
      <calculatedColumnFormula>P75-IFERROR(SMALL(D75:INDIRECT(ADDRESS(ROW(),4+Settings[Value])), 1),0)-IFERROR(SMALL(D75:INDIRECT(ADDRESS(ROW(),4+Settings[Value])),2),0)</calculatedColumnFormula>
    </tableColumn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A90B303E-9C84-442C-90E4-D179008A1A38}" name="Table27" displayName="Table27" ref="A85:Q91" totalsRowShown="0" headerRowDxfId="2113" dataDxfId="2112" tableBorderDxfId="2111">
  <autoFilter ref="A85:Q91" xr:uid="{D44EA2F6-9748-498A-9AC0-FC2FF413A02D}"/>
  <sortState ref="A86:Q91">
    <sortCondition descending="1" ref="Q85:Q91"/>
  </sortState>
  <tableColumns count="17">
    <tableColumn id="1" xr3:uid="{82F6F350-72F9-46C2-994E-FC98C718535A}" name="Last" dataDxfId="2110"/>
    <tableColumn id="2" xr3:uid="{73D9EEFA-8526-4AE9-8C3C-B5F3F913172C}" name="First" dataDxfId="2109"/>
    <tableColumn id="17" xr3:uid="{37D24C55-8F13-4953-B885-114461E1D8FB}" name="Team" dataDxfId="2108"/>
    <tableColumn id="3" xr3:uid="{0E97CFA3-476F-4FB8-9D83-1ABE8A25AF6D}" name="1" dataDxfId="2107"/>
    <tableColumn id="4" xr3:uid="{5B5D617F-4AEA-4F87-996F-3B010F8871DE}" name="2" dataDxfId="2106"/>
    <tableColumn id="5" xr3:uid="{4739D5A2-9557-4D6F-848E-365629C20F66}" name="3" dataDxfId="2105"/>
    <tableColumn id="6" xr3:uid="{9D681B2B-5B3F-4021-8526-068877AA78C1}" name="4" dataDxfId="2104"/>
    <tableColumn id="7" xr3:uid="{1D41D91D-0C65-40E1-ABE4-8E9BE2288170}" name="5" dataDxfId="2103"/>
    <tableColumn id="8" xr3:uid="{8EE2AB32-CC9C-4DCF-96F3-E1335E11FC26}" name="6" dataDxfId="2102"/>
    <tableColumn id="9" xr3:uid="{A1C49F54-2804-4CD4-9B6B-77A3636552D5}" name="7" dataDxfId="2101"/>
    <tableColumn id="10" xr3:uid="{6EA3C6EE-FC98-48DC-A5E9-134758E365F1}" name="8" dataDxfId="2100"/>
    <tableColumn id="11" xr3:uid="{82F94443-4255-4CC6-9F00-5CD892C3085F}" name="9" dataDxfId="2099"/>
    <tableColumn id="12" xr3:uid="{4FF07F00-558F-486C-A251-195DD76A14C6}" name="10" dataDxfId="2098"/>
    <tableColumn id="13" xr3:uid="{171F99D5-EFC3-45A0-8E28-1475A579585A}" name="11" dataDxfId="2097"/>
    <tableColumn id="14" xr3:uid="{673202CF-E373-4732-AAE6-8C5A5956F2E2}" name="12" dataDxfId="2096"/>
    <tableColumn id="15" xr3:uid="{52E3591E-9C9D-4992-93C4-C1522696183B}" name="Overall" dataDxfId="2095">
      <calculatedColumnFormula>SUM(D86:O86)</calculatedColumnFormula>
    </tableColumn>
    <tableColumn id="16" xr3:uid="{13E0092F-7CDE-4784-8AC2-8473E85F86E4}" name="Cup" dataDxfId="2094">
      <calculatedColumnFormula>P86-IFERROR(SMALL(D86:INDIRECT(ADDRESS(ROW(),4+Settings[Value])), 1),0)-IFERROR(SMALL(D86:INDIRECT(ADDRESS(ROW(),4+Settings[Value])),2),0)</calculatedColumnFormula>
    </tableColumn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7D7CE101-BA6B-4D33-95EA-8EA63417DC11}" name="Table28" displayName="Table28" ref="A94:Q103" totalsRowShown="0" headerRowDxfId="2093" dataDxfId="2092" tableBorderDxfId="2091">
  <autoFilter ref="A94:Q103" xr:uid="{C1E95008-4D65-4DCD-80B1-7552EA483241}"/>
  <sortState ref="A95:Q103">
    <sortCondition descending="1" ref="Q94:Q103"/>
  </sortState>
  <tableColumns count="17">
    <tableColumn id="1" xr3:uid="{BC4B8844-F6D3-4595-B855-53825F51F30A}" name="Last" dataDxfId="2090"/>
    <tableColumn id="2" xr3:uid="{6B8D1180-0AAB-485C-ADC2-59C56148F621}" name="First" dataDxfId="2089"/>
    <tableColumn id="17" xr3:uid="{282A8D19-8397-4EC2-BBBD-6DD3649A5934}" name="Team" dataDxfId="2088"/>
    <tableColumn id="3" xr3:uid="{2A0EC7C6-8AA3-4469-B5D4-3D1DD97EFFE2}" name="1" dataDxfId="2087"/>
    <tableColumn id="4" xr3:uid="{246D772C-3D70-4E07-9CC0-481A0084309F}" name="2" dataDxfId="2086"/>
    <tableColumn id="5" xr3:uid="{A021E30B-4461-44C0-8B49-68699C92B4AF}" name="3" dataDxfId="2085"/>
    <tableColumn id="6" xr3:uid="{B15ED7A1-A76D-47E9-A838-9FDB785C8B7B}" name="4" dataDxfId="2084"/>
    <tableColumn id="7" xr3:uid="{7983D77C-DDBB-4E8B-8259-F2149D5D8B16}" name="5" dataDxfId="2083"/>
    <tableColumn id="8" xr3:uid="{B90EB29D-B751-4DD0-BAE1-2DA3AFA609A5}" name="6" dataDxfId="2082"/>
    <tableColumn id="9" xr3:uid="{C96FF27E-BFA1-4868-B000-EF0A064BC4DA}" name="7" dataDxfId="2081"/>
    <tableColumn id="10" xr3:uid="{992F66BC-EE87-4993-A3E6-306FBE61E2F4}" name="8" dataDxfId="2080"/>
    <tableColumn id="11" xr3:uid="{EAC6E344-4029-4514-8ABB-80782C985E05}" name="9" dataDxfId="2079"/>
    <tableColumn id="12" xr3:uid="{A24486B0-4910-40E6-81AF-D2CFDFE5E94A}" name="10" dataDxfId="2078"/>
    <tableColumn id="13" xr3:uid="{3F16D68A-953A-40E5-A81F-02C40C4244D3}" name="11" dataDxfId="2077"/>
    <tableColumn id="14" xr3:uid="{81B6E715-8405-4B42-A5C4-0EDAFD8BFDF8}" name="12" dataDxfId="2076"/>
    <tableColumn id="15" xr3:uid="{958F5A19-F295-4304-827A-B50EBD36CBD2}" name="Overall" dataDxfId="2075">
      <calculatedColumnFormula>SUM(D95:O95)</calculatedColumnFormula>
    </tableColumn>
    <tableColumn id="16" xr3:uid="{15C562B9-54BD-4D68-938D-71A575DD727B}" name="Cup" dataDxfId="2074">
      <calculatedColumnFormula>P95-IFERROR(SMALL(D95:INDIRECT(ADDRESS(ROW(),4+Settings[Value])), 1),0)-IFERROR(SMALL(D95:INDIRECT(ADDRESS(ROW(),4+Settings[Value])),2),0)</calculatedColumnFormula>
    </tableColumn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384B690B-A163-4D9C-98EB-BE1744C067AE}" name="Table29" displayName="Table29" ref="A106:Q110" totalsRowShown="0" headerRowDxfId="2073" dataDxfId="2072" tableBorderDxfId="2071">
  <autoFilter ref="A106:Q110" xr:uid="{73639C45-5998-42ED-8C0C-26F43FD410D8}"/>
  <sortState ref="A107:Q110">
    <sortCondition descending="1" ref="Q106:Q110"/>
  </sortState>
  <tableColumns count="17">
    <tableColumn id="1" xr3:uid="{F606B3C1-F29D-4614-83CB-EECAF027A673}" name="Last" dataDxfId="2070"/>
    <tableColumn id="2" xr3:uid="{18E6BBF6-F809-42F2-8639-23C72841BCBA}" name="First" dataDxfId="2069"/>
    <tableColumn id="17" xr3:uid="{35FF60CF-E593-4D87-AFC8-3BA68F4B7694}" name="Team" dataDxfId="2068"/>
    <tableColumn id="3" xr3:uid="{77B9412E-A9E5-4B70-A7B2-74740E57D374}" name="1" dataDxfId="2067"/>
    <tableColumn id="4" xr3:uid="{06EA7470-612C-4A36-ACC7-C67799E288E3}" name="2" dataDxfId="2066"/>
    <tableColumn id="5" xr3:uid="{6FD43A56-67D7-4A05-8FFA-F67EE8B6D0AD}" name="3" dataDxfId="2065"/>
    <tableColumn id="6" xr3:uid="{276EA9DB-B72D-4EEA-B320-9BDF65646D0B}" name="4" dataDxfId="2064"/>
    <tableColumn id="7" xr3:uid="{49971033-DF2F-4DB1-B34A-C88F42AD120F}" name="5" dataDxfId="2063"/>
    <tableColumn id="8" xr3:uid="{ABC9B64E-0026-49EE-B97F-732BCDCAE464}" name="6" dataDxfId="2062"/>
    <tableColumn id="9" xr3:uid="{02FD9119-5C5C-4009-B25B-97ABE0E9C09B}" name="7" dataDxfId="2061"/>
    <tableColumn id="10" xr3:uid="{E9BE535E-1BDD-41B1-89B4-BE926D928779}" name="8" dataDxfId="2060"/>
    <tableColumn id="11" xr3:uid="{BBA8DAAD-7747-4B0F-8C38-4374FEBE3356}" name="9" dataDxfId="2059"/>
    <tableColumn id="12" xr3:uid="{9E89641B-FA61-4009-93F7-BCB24CFCE5A0}" name="10" dataDxfId="2058"/>
    <tableColumn id="13" xr3:uid="{51986220-7980-467D-A1A8-DF4B4A93CBB9}" name="11" dataDxfId="2057"/>
    <tableColumn id="14" xr3:uid="{4799F0F9-83EE-4022-852D-802FDF488C40}" name="12" dataDxfId="2056"/>
    <tableColumn id="15" xr3:uid="{23BBC9DF-6807-4006-9C7D-E34186E34FDF}" name="Overall" dataDxfId="2055">
      <calculatedColumnFormula>SUM(D107:O107)</calculatedColumnFormula>
    </tableColumn>
    <tableColumn id="16" xr3:uid="{137E86B2-9DF7-4973-A644-F883574009E2}" name="Cup" dataDxfId="2054">
      <calculatedColumnFormula>P107-IFERROR(SMALL(D107:INDIRECT(ADDRESS(ROW(),4+Settings[Value])), 1),0)-IFERROR(SMALL(D107:INDIRECT(ADDRESS(ROW(),4+Settings[Value])),2),0)</calculatedColumnFormula>
    </tableColumn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E48C8011-72E1-4C67-92FE-5274CB5023EF}" name="Table2931" displayName="Table2931" ref="A113:Q114" totalsRowShown="0" headerRowDxfId="2053" dataDxfId="2052" tableBorderDxfId="2051">
  <autoFilter ref="A113:Q114" xr:uid="{F7F3CA54-4457-4989-BF7C-9A5DD342C66F}"/>
  <sortState ref="A114:Q114">
    <sortCondition descending="1" ref="Q113:Q114"/>
  </sortState>
  <tableColumns count="17">
    <tableColumn id="1" xr3:uid="{9E6BE46E-B005-41AD-99F2-DAEEF0F34A57}" name="Last" dataDxfId="2050"/>
    <tableColumn id="2" xr3:uid="{0B06340F-B955-4D99-8A4C-4507617EE963}" name="First" dataDxfId="2049"/>
    <tableColumn id="17" xr3:uid="{D859C534-932E-4AAD-8C56-939F950F4F2A}" name="Team" dataDxfId="2048"/>
    <tableColumn id="3" xr3:uid="{0F99C6A4-08C1-42C9-BB7D-DDCA993504EE}" name="1" dataDxfId="2047"/>
    <tableColumn id="4" xr3:uid="{7DDF9DD6-BC95-4517-BDEB-827EE4FBCA5A}" name="2" dataDxfId="2046"/>
    <tableColumn id="5" xr3:uid="{5E7C5CB2-FA32-4E82-B3BA-D265261E40A4}" name="3" dataDxfId="2045"/>
    <tableColumn id="6" xr3:uid="{F8AF784F-7BFE-4879-BC5C-4149DC253810}" name="4" dataDxfId="2044"/>
    <tableColumn id="7" xr3:uid="{3D4BCD6E-3B15-489C-A9B9-9159AA3EE476}" name="5" dataDxfId="2043"/>
    <tableColumn id="8" xr3:uid="{2CF41914-6111-4B2F-8648-B274A09AA49F}" name="6" dataDxfId="2042"/>
    <tableColumn id="9" xr3:uid="{EFE754C7-8226-4727-B15B-8EAE97389100}" name="7" dataDxfId="2041"/>
    <tableColumn id="10" xr3:uid="{715D8ED4-A3E1-452B-BB62-92134A36EB03}" name="8" dataDxfId="2040"/>
    <tableColumn id="11" xr3:uid="{52E8BAFF-217D-4726-BD02-0C946467CAAC}" name="9" dataDxfId="2039"/>
    <tableColumn id="12" xr3:uid="{7F830922-11B3-4382-A530-E60F422CC3F2}" name="10" dataDxfId="2038"/>
    <tableColumn id="13" xr3:uid="{3B0EB09B-5B6D-4997-B215-FEE3E862FA07}" name="11" dataDxfId="2037"/>
    <tableColumn id="14" xr3:uid="{254CB589-D3D4-4105-B76E-A5E42705DCD0}" name="12" dataDxfId="2036"/>
    <tableColumn id="15" xr3:uid="{C56CE685-9D24-456F-99A7-C27959743E62}" name="Overall" dataDxfId="2035">
      <calculatedColumnFormula>SUM(D114:O114)</calculatedColumnFormula>
    </tableColumn>
    <tableColumn id="16" xr3:uid="{4ED16094-749E-4737-809A-8096548A2D0E}" name="Cup" dataDxfId="2034">
      <calculatedColumnFormula>P114-IFERROR(SMALL(D114:INDIRECT(ADDRESS(ROW(),4+Settings[Value])), 1),0)-IFERROR(SMALL(D114:INDIRECT(ADDRESS(ROW(),4+Settings[Value])),2),0)</calculatedColumnFormula>
    </tableColumn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5F9AAD7-EB50-4963-AD40-A692CEA19388}" name="Table293132" displayName="Table293132" ref="A120:Q134" totalsRowShown="0" headerRowDxfId="2033" dataDxfId="2032" tableBorderDxfId="2031">
  <autoFilter ref="A120:Q134" xr:uid="{5E644C67-F4F5-4B18-98FA-B2497BBFAA93}"/>
  <sortState ref="A121:Q134">
    <sortCondition descending="1" ref="Q120:Q134"/>
  </sortState>
  <tableColumns count="17">
    <tableColumn id="1" xr3:uid="{4216F5C2-31DA-48EF-98BB-C3744E67E937}" name="Last" dataDxfId="2030"/>
    <tableColumn id="2" xr3:uid="{CEAC137A-12DB-410D-80EA-F1BE346B675C}" name="First" dataDxfId="2029"/>
    <tableColumn id="17" xr3:uid="{18EF32A9-0195-47C7-8C2A-4F08E4AE63D8}" name="Team" dataDxfId="2028"/>
    <tableColumn id="3" xr3:uid="{8DB12246-A99B-4420-B31A-AF70F443314C}" name="1" dataDxfId="2027"/>
    <tableColumn id="4" xr3:uid="{B41152BE-893F-44BE-B20E-3B1155158E18}" name="2" dataDxfId="2026"/>
    <tableColumn id="5" xr3:uid="{4E9A0F06-2650-4CDB-A827-7D7CEB542C49}" name="3" dataDxfId="2025"/>
    <tableColumn id="6" xr3:uid="{931CC34F-31FF-4591-9BA0-A4D4B6ABEB88}" name="4" dataDxfId="2024"/>
    <tableColumn id="7" xr3:uid="{0C98C582-41C4-4C7C-AA86-4978C92C96C3}" name="5" dataDxfId="2023"/>
    <tableColumn id="8" xr3:uid="{12511BAD-C6CA-4A2F-BA4C-1CF678CC9748}" name="6" dataDxfId="2022"/>
    <tableColumn id="9" xr3:uid="{D3AD4917-EAC5-493E-ACA0-63CD067B5C80}" name="7" dataDxfId="2021"/>
    <tableColumn id="10" xr3:uid="{73CF5748-2469-42C8-B055-23D4637BBCF9}" name="8" dataDxfId="2020"/>
    <tableColumn id="11" xr3:uid="{B0DFF956-2FC4-47D7-8396-6B620BE0A6B4}" name="9" dataDxfId="2019"/>
    <tableColumn id="12" xr3:uid="{7525DD4B-FE96-480A-9409-A9C8764F54D2}" name="10" dataDxfId="2018"/>
    <tableColumn id="13" xr3:uid="{2255648A-B863-4A48-8BBD-A401BA04D809}" name="11" dataDxfId="2017"/>
    <tableColumn id="14" xr3:uid="{92494F9E-C4BB-4553-B6CA-F7FE8300E2D6}" name="12" dataDxfId="2016"/>
    <tableColumn id="15" xr3:uid="{1B3DDEE5-2758-4646-B34C-8606C051A67E}" name="Overall" dataDxfId="2015">
      <calculatedColumnFormula>SUM(D121:O121)</calculatedColumnFormula>
    </tableColumn>
    <tableColumn id="16" xr3:uid="{DFFF6452-AF52-460C-AA7F-2232C9F44F53}" name="Cup" dataDxfId="2014">
      <calculatedColumnFormula>P121-IFERROR(SMALL(D121:INDIRECT(ADDRESS(ROW(),4+Settings[Value])), 1),0)-IFERROR(SMALL(D121:INDIRECT(ADDRESS(ROW(),4+Settings[Value])),2),0)</calculatedColumnFormula>
    </tableColumn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E4825DC9-6F58-4114-9F76-CCDE694F308A}" name="Table32" displayName="Table32" ref="A137:Q151" totalsRowShown="0" headerRowDxfId="2013" dataDxfId="2012" tableBorderDxfId="2011">
  <autoFilter ref="A137:Q151" xr:uid="{C38B3036-84FA-40BC-899D-B88E984F5B0B}"/>
  <sortState ref="A138:Q151">
    <sortCondition descending="1" ref="Q137:Q151"/>
  </sortState>
  <tableColumns count="17">
    <tableColumn id="1" xr3:uid="{CC00FB2C-06B2-4ED1-B022-6F7F7C99C51C}" name="Last" dataDxfId="2010"/>
    <tableColumn id="2" xr3:uid="{6950D19D-DA61-4AF3-868E-61F601055FDC}" name="First" dataDxfId="2009"/>
    <tableColumn id="17" xr3:uid="{98645926-631F-4BF4-961C-E311A2C20FB8}" name="Team" dataDxfId="2008"/>
    <tableColumn id="3" xr3:uid="{4A854CC4-17D6-4371-BFD4-84816A67B49C}" name="1" dataDxfId="2007"/>
    <tableColumn id="4" xr3:uid="{B26CC7D5-6706-4E59-87D1-F9D62E12CAA2}" name="2" dataDxfId="2006"/>
    <tableColumn id="5" xr3:uid="{421BD4BB-7598-47EB-A9B0-5C22F39F139E}" name="3" dataDxfId="2005"/>
    <tableColumn id="6" xr3:uid="{55276792-25A9-4F5E-AEAA-6174DA639C22}" name="4" dataDxfId="2004"/>
    <tableColumn id="7" xr3:uid="{F2F22D08-4FEB-4B97-AB4B-4C2AA1DF6A1A}" name="5" dataDxfId="2003"/>
    <tableColumn id="8" xr3:uid="{7FF067C9-599C-42B7-9DBC-E5689626BEC4}" name="6" dataDxfId="2002"/>
    <tableColumn id="9" xr3:uid="{56758182-15D0-4AD3-8CB7-851938945AE6}" name="7" dataDxfId="2001"/>
    <tableColumn id="10" xr3:uid="{16E4EACD-19F1-4828-918B-B91E27E501A8}" name="8" dataDxfId="2000"/>
    <tableColumn id="11" xr3:uid="{78C3A9F6-AE3C-454D-AE3A-802FDD8A5D62}" name="9" dataDxfId="1999"/>
    <tableColumn id="12" xr3:uid="{ACC6F1FD-5A2C-4937-B109-9A97098FE4FC}" name="10" dataDxfId="1998"/>
    <tableColumn id="13" xr3:uid="{74FF0B03-C303-44F9-B85C-11B7B016B097}" name="11" dataDxfId="1997"/>
    <tableColumn id="14" xr3:uid="{FEA474E2-13EC-4036-A7F3-CF745BCE9163}" name="12" dataDxfId="1996"/>
    <tableColumn id="15" xr3:uid="{6DA54CC0-9413-4255-9B4C-B429BA4F5922}" name="Overall" dataDxfId="1995">
      <calculatedColumnFormula>SUM(D138:O138)</calculatedColumnFormula>
    </tableColumn>
    <tableColumn id="16" xr3:uid="{75C9A14B-CBE0-438A-AEF2-EF8ABFC77B4A}" name="Cup" dataDxfId="1994">
      <calculatedColumnFormula>P138-IFERROR(SMALL(D138:INDIRECT(ADDRESS(ROW(),4+Settings[Value])), 1),0)-IFERROR(SMALL(D138:INDIRECT(ADDRESS(ROW(),4+Settings[Value])),2),0)</calculatedColumnFormula>
    </tableColumn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63205194-D087-4E08-B1AA-2A6A7C2B8621}" name="Table33" displayName="Table33" ref="A154:Q173" totalsRowShown="0" headerRowDxfId="1993" dataDxfId="1992" tableBorderDxfId="1991">
  <autoFilter ref="A154:Q173" xr:uid="{D5FCD66B-01F6-4814-BD51-B9B7CADA791D}"/>
  <sortState ref="A155:Q173">
    <sortCondition descending="1" ref="Q154:Q173"/>
  </sortState>
  <tableColumns count="17">
    <tableColumn id="1" xr3:uid="{CE8A2818-AC5A-4DFF-8FA3-DE43D5107F0D}" name="Last" dataDxfId="1990"/>
    <tableColumn id="2" xr3:uid="{E1F59D11-D1E1-4BBB-9C4D-BC40D96D7CD9}" name="First" dataDxfId="1989"/>
    <tableColumn id="17" xr3:uid="{8119D228-4239-4EB2-B035-18102C5D8F33}" name="Team" dataDxfId="1988"/>
    <tableColumn id="3" xr3:uid="{664C9894-3CBF-494B-A820-24A54F6DB829}" name="1" dataDxfId="1987"/>
    <tableColumn id="4" xr3:uid="{56D33690-A1CE-4158-B4DB-B3D5FBCADC4C}" name="2" dataDxfId="1986"/>
    <tableColumn id="5" xr3:uid="{F1263E38-E253-4928-9FE9-3755261BD9FB}" name="3" dataDxfId="1985"/>
    <tableColumn id="6" xr3:uid="{E194F752-D963-4F31-8B07-A2616DB1DC6A}" name="4" dataDxfId="1984"/>
    <tableColumn id="7" xr3:uid="{871AD751-2850-46F8-B4DC-F58B4E4CE49D}" name="5" dataDxfId="1983"/>
    <tableColumn id="8" xr3:uid="{428D7CBB-2D9C-45D1-9E13-53000A74112D}" name="6" dataDxfId="1982"/>
    <tableColumn id="9" xr3:uid="{5D6087DC-7272-45F2-9223-93F43CAD581A}" name="7" dataDxfId="1981"/>
    <tableColumn id="10" xr3:uid="{BD162181-0B24-42D0-AD08-2509EE81CECD}" name="8" dataDxfId="1980"/>
    <tableColumn id="11" xr3:uid="{34C148FF-0FAC-4351-857B-8EB563AD9F03}" name="9" dataDxfId="1979"/>
    <tableColumn id="12" xr3:uid="{F828725E-678B-47C8-99EF-BA9F116FB184}" name="10" dataDxfId="1978"/>
    <tableColumn id="13" xr3:uid="{665EBFCD-DB61-485E-A9A0-771C9B142AB1}" name="11" dataDxfId="1977"/>
    <tableColumn id="14" xr3:uid="{0A74C3D9-1DEF-4E47-A6C2-EF47D5AA502A}" name="12" dataDxfId="1976"/>
    <tableColumn id="15" xr3:uid="{C5D829D8-A766-4B7D-91BF-596587D79988}" name="Overall" dataDxfId="1975">
      <calculatedColumnFormula>SUM(D155:O155)</calculatedColumnFormula>
    </tableColumn>
    <tableColumn id="16" xr3:uid="{FCFE671B-AB57-447C-812C-67CB5F24171A}" name="Cup" dataDxfId="1974">
      <calculatedColumnFormula>P155-IFERROR(SMALL(D155:INDIRECT(ADDRESS(ROW(),4+Settings[Value])), 1),0)-IFERROR(SMALL(D155:INDIRECT(ADDRESS(ROW(),4+Settings[Value])),2),0)</calculatedColumnFormula>
    </tableColumn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A7F0740E-EB28-42F5-9E5F-27364355AEE1}" name="Table34" displayName="Table34" ref="A181:Q196" totalsRowShown="0" headerRowDxfId="1973" dataDxfId="1972" tableBorderDxfId="1971">
  <autoFilter ref="A181:Q196" xr:uid="{56D2E36A-A577-4949-B8C8-D4872FA9D56A}"/>
  <sortState ref="A182:Q196">
    <sortCondition descending="1" ref="Q181:Q196"/>
  </sortState>
  <tableColumns count="17">
    <tableColumn id="1" xr3:uid="{DDCA4B97-DCB3-4124-B201-59736606726C}" name="Last" dataDxfId="1970"/>
    <tableColumn id="2" xr3:uid="{3F67308F-C45A-4E53-A22E-756516CC2288}" name="First" dataDxfId="1969"/>
    <tableColumn id="17" xr3:uid="{D4273523-9923-4A4D-99AC-8683FA5E6572}" name="Team" dataDxfId="1968"/>
    <tableColumn id="3" xr3:uid="{A3DB3A2D-9AB7-4607-B5F6-866307D4ED91}" name="1" dataDxfId="1967"/>
    <tableColumn id="4" xr3:uid="{D85EC6E2-8E46-43F2-8D34-AC4D0159050F}" name="2" dataDxfId="1966"/>
    <tableColumn id="5" xr3:uid="{4CB350D8-081F-4E35-87B2-707176F3D7B4}" name="3" dataDxfId="1965"/>
    <tableColumn id="6" xr3:uid="{9931266A-9D13-4850-86AF-0BB063E89F10}" name="4" dataDxfId="1964"/>
    <tableColumn id="7" xr3:uid="{1E7B9E0F-3B8D-40D4-8965-3E580C74F75E}" name="5" dataDxfId="1963"/>
    <tableColumn id="8" xr3:uid="{8F0A494C-DC1A-44D9-ADCB-EA84154DDB9E}" name="6" dataDxfId="1962"/>
    <tableColumn id="9" xr3:uid="{F3E39137-8DB8-4A81-9491-B6FB714B398A}" name="7" dataDxfId="1961"/>
    <tableColumn id="10" xr3:uid="{FF4E3528-7807-4982-A0F3-8D8B0BA0BEC4}" name="8" dataDxfId="1960"/>
    <tableColumn id="11" xr3:uid="{29963307-299E-4988-85AA-55A5B32639FD}" name="9" dataDxfId="1959"/>
    <tableColumn id="12" xr3:uid="{30DE3973-9C6E-4B9F-B0D2-B84C9A60F317}" name="10" dataDxfId="1958"/>
    <tableColumn id="13" xr3:uid="{8D68FC09-005F-4DCA-83C6-5727ACEE85C7}" name="11" dataDxfId="1957"/>
    <tableColumn id="14" xr3:uid="{83039C9F-0ECB-40CC-8879-F6D66BFBDB63}" name="12" dataDxfId="1956"/>
    <tableColumn id="15" xr3:uid="{730E5153-95B7-4EEA-B309-CDE690B68985}" name="Overall" dataDxfId="1955">
      <calculatedColumnFormula>SUM(D182:O182)</calculatedColumnFormula>
    </tableColumn>
    <tableColumn id="16" xr3:uid="{C241F8C3-6664-471E-87BA-F2B4FD4D801E}" name="Cup" dataDxfId="1954">
      <calculatedColumnFormula>P182-IFERROR(SMALL(D182:INDIRECT(ADDRESS(ROW(),4+Settings[Value])), 1),0)-IFERROR(SMALL(D182:INDIRECT(ADDRESS(ROW(),4+Settings[Value])),2),0)</calculatedColumnFormula>
    </tableColumn>
  </tableColumns>
  <tableStyleInfo name="TableStyleLight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F59582D3-181A-4DF7-B4DA-DBD5B023650F}" name="Table35" displayName="Table35" ref="A199:Q206" totalsRowShown="0" headerRowDxfId="1953" dataDxfId="1952" tableBorderDxfId="1951">
  <autoFilter ref="A199:Q206" xr:uid="{0A42BD2E-7623-49DA-9AD3-440E8E71C540}"/>
  <sortState ref="A200:Q206">
    <sortCondition descending="1" ref="Q199:Q206"/>
  </sortState>
  <tableColumns count="17">
    <tableColumn id="1" xr3:uid="{801BE89F-ED14-4129-986E-353303F9A69F}" name="Last" dataDxfId="1950"/>
    <tableColumn id="2" xr3:uid="{A61A1E6F-5BAE-4469-A6B7-3BBDD1AF6280}" name="First" dataDxfId="1949"/>
    <tableColumn id="17" xr3:uid="{3D4DCFF2-7099-4251-8A16-0118311055BD}" name="Team" dataDxfId="1948"/>
    <tableColumn id="3" xr3:uid="{1B58B635-A004-4257-A7CF-A960BBFAD07E}" name="1" dataDxfId="1947"/>
    <tableColumn id="4" xr3:uid="{D5297D9D-D438-4A05-A21E-070ED95C15ED}" name="2" dataDxfId="1946"/>
    <tableColumn id="5" xr3:uid="{40A02D76-3555-4054-98BB-C305EDA84000}" name="3" dataDxfId="1945"/>
    <tableColumn id="6" xr3:uid="{B5458EFD-5CD3-4924-B784-7B48C72367D1}" name="4" dataDxfId="1944"/>
    <tableColumn id="7" xr3:uid="{1CDEA1DC-E374-4D8B-B442-0B641B83E480}" name="5" dataDxfId="1943"/>
    <tableColumn id="8" xr3:uid="{AF7A2FDA-63E5-419C-BACC-42A98EFF7F48}" name="6" dataDxfId="1942"/>
    <tableColumn id="9" xr3:uid="{9432841D-5B54-48B7-9541-4E77ED97F02C}" name="7" dataDxfId="1941"/>
    <tableColumn id="10" xr3:uid="{4F9568D4-8616-40B1-8220-88FDBA495AC1}" name="8" dataDxfId="1940"/>
    <tableColumn id="11" xr3:uid="{B9F286BD-CC33-4790-A9DF-FE84CB47927C}" name="9" dataDxfId="1939"/>
    <tableColumn id="12" xr3:uid="{5B97F531-8BC5-42A2-AA37-4A892673B8B5}" name="10" dataDxfId="1938"/>
    <tableColumn id="13" xr3:uid="{58ED6D52-3584-42CD-B33B-32FFD92F887A}" name="11" dataDxfId="1937"/>
    <tableColumn id="14" xr3:uid="{E5E41B64-5C43-4D1E-A524-2C3EC3298641}" name="12" dataDxfId="1936"/>
    <tableColumn id="15" xr3:uid="{D506B164-E21C-4A4B-BF15-95935C28AC01}" name="Overall" dataDxfId="1935">
      <calculatedColumnFormula>SUM(D200:O200)</calculatedColumnFormula>
    </tableColumn>
    <tableColumn id="16" xr3:uid="{5BAD0C6B-CAA8-4B5E-ABB3-064A36831924}" name="Cup" dataDxfId="1934">
      <calculatedColumnFormula>P200-IFERROR(SMALL(D200:INDIRECT(ADDRESS(ROW(),4+Settings[Value])), 1),0)-IFERROR(SMALL(D200:INDIRECT(ADDRESS(ROW(),4+Settings[Value])),2),0)</calculatedColumnFormula>
    </tableColumn>
  </tableColumns>
  <tableStyleInfo name="TableStyleLight8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54CD433B-E6AE-4DA9-AA4B-D4C7631AE502}" name="Table36" displayName="Table36" ref="A209:Q240" totalsRowShown="0" headerRowDxfId="1933" dataDxfId="1932" tableBorderDxfId="1931">
  <autoFilter ref="A209:Q240" xr:uid="{418A1BF6-2098-46F9-B11B-151B3F14D083}"/>
  <sortState ref="A210:Q240">
    <sortCondition descending="1" ref="Q209:Q240"/>
  </sortState>
  <tableColumns count="17">
    <tableColumn id="1" xr3:uid="{CDF6351E-CC8D-4661-BB73-9D1C34CE06E6}" name="Last" dataDxfId="1930"/>
    <tableColumn id="2" xr3:uid="{90718BCB-68C8-4FAC-8D6C-047BB325A6AD}" name="First" dataDxfId="1929"/>
    <tableColumn id="16" xr3:uid="{90A3EDD1-254A-43DB-901C-42FAC6AB12C2}" name="Team" dataDxfId="1928"/>
    <tableColumn id="3" xr3:uid="{04765A6C-C2C9-4A28-BB71-5C521BCC5689}" name="1" dataDxfId="1927"/>
    <tableColumn id="4" xr3:uid="{71854A2F-153D-4C23-AF46-828319E5A820}" name="2" dataDxfId="1926"/>
    <tableColumn id="5" xr3:uid="{2EF83407-4B6D-4128-8259-508908F95B0B}" name="3" dataDxfId="1925"/>
    <tableColumn id="6" xr3:uid="{40D444D3-32B9-4144-94ED-D16FB50680C0}" name="4" dataDxfId="1924"/>
    <tableColumn id="7" xr3:uid="{2DBC1E19-33D8-4369-81F3-C591FD56C54D}" name="5" dataDxfId="1923"/>
    <tableColumn id="8" xr3:uid="{2BDB69B0-9934-490E-A3C2-F190015454FF}" name="6" dataDxfId="1922"/>
    <tableColumn id="9" xr3:uid="{CFACEB62-2362-4DAB-8B73-FBA310D879CD}" name="7" dataDxfId="1921"/>
    <tableColumn id="10" xr3:uid="{7A583CE6-990F-4ECC-9104-E27B73FF1C29}" name="8" dataDxfId="1920"/>
    <tableColumn id="11" xr3:uid="{16EE30EF-E2FA-450F-977B-8D7EA9D47CDA}" name="9" dataDxfId="1919"/>
    <tableColumn id="12" xr3:uid="{CFA99761-E800-420E-80FD-464E5A10288B}" name="10" dataDxfId="1918"/>
    <tableColumn id="13" xr3:uid="{9BD4867D-2C07-4F7E-85A7-63CAA2726DAE}" name="11" dataDxfId="1917"/>
    <tableColumn id="14" xr3:uid="{78011EC0-FBA0-404B-B2A1-E534915F0D7D}" name="12" dataDxfId="1916"/>
    <tableColumn id="15" xr3:uid="{03557F2C-FEC0-4D47-9A24-14E5FFAF2979}" name="Overall" dataDxfId="1915">
      <calculatedColumnFormula>SUM(D210:O210)</calculatedColumnFormula>
    </tableColumn>
    <tableColumn id="17" xr3:uid="{FC455622-C59C-4CCE-9D5B-8B106D3E9C11}" name="Cup" dataDxfId="1914">
      <calculatedColumnFormula>P210-IFERROR(SMALL(D210:INDIRECT(ADDRESS(ROW(),4+Settings[Value])), 1),0)-IFERROR(SMALL(D210:INDIRECT(ADDRESS(ROW(),4+Settings[Value])),2),0)</calculatedColumnFormula>
    </tableColumn>
  </tableColumns>
  <tableStyleInfo name="TableStyleLight8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52E4F040-6AB9-424D-B750-B8C61D768260}" name="Table37" displayName="Table37" ref="A242:Q259" totalsRowShown="0" headerRowDxfId="1913" dataDxfId="1912" tableBorderDxfId="1911">
  <autoFilter ref="A242:Q259" xr:uid="{0C771276-5FEA-4F21-A407-90D8BBC7313E}"/>
  <sortState ref="A243:Q259">
    <sortCondition descending="1" ref="Q242:Q259"/>
  </sortState>
  <tableColumns count="17">
    <tableColumn id="1" xr3:uid="{345FB1C2-4AEB-4502-931C-38CDDC18FA6D}" name="Last" dataDxfId="1910"/>
    <tableColumn id="2" xr3:uid="{95C56615-BDC0-4126-9789-9CB38256B1F9}" name="First" dataDxfId="1909"/>
    <tableColumn id="17" xr3:uid="{0CB48C7F-9F91-47B0-BD89-8ECB8A082F06}" name="Team" dataDxfId="1908"/>
    <tableColumn id="3" xr3:uid="{415FB032-3C7D-4CB7-9FB4-5AB4267ECEED}" name="1" dataDxfId="1907"/>
    <tableColumn id="4" xr3:uid="{6A84B53E-F54D-40D1-926A-3F6E7AE56601}" name="2" dataDxfId="1906"/>
    <tableColumn id="5" xr3:uid="{36389F5D-AFAB-43A1-9815-5F35C23C1F24}" name="3" dataDxfId="1905"/>
    <tableColumn id="6" xr3:uid="{B3B3272E-A1D7-4892-8B7E-BDFCDE11FCB4}" name="4" dataDxfId="1904"/>
    <tableColumn id="7" xr3:uid="{59495D72-84A0-4186-BFAB-654AA223A85E}" name="5" dataDxfId="1903"/>
    <tableColumn id="8" xr3:uid="{08DFD000-E645-4A6D-B667-A7646C287A34}" name="6" dataDxfId="1902"/>
    <tableColumn id="9" xr3:uid="{EAC10EBA-862D-4E55-A580-D1D406875828}" name="7" dataDxfId="1901"/>
    <tableColumn id="10" xr3:uid="{EDC753D0-0A8B-4057-BD11-94AA98A43C9B}" name="8" dataDxfId="1900"/>
    <tableColumn id="11" xr3:uid="{607661ED-5E1E-4889-840F-62EE1BD94036}" name="9" dataDxfId="1899"/>
    <tableColumn id="12" xr3:uid="{7433E3BC-02B5-4607-872B-47D8DFC81EE2}" name="10" dataDxfId="1898"/>
    <tableColumn id="13" xr3:uid="{37A73D8A-07A2-428D-A1C0-D28589730952}" name="11" dataDxfId="1897"/>
    <tableColumn id="14" xr3:uid="{25678C76-7853-4EBF-993F-ADB5400EC3EB}" name="12" dataDxfId="1896"/>
    <tableColumn id="15" xr3:uid="{915D6C51-42DB-454F-BE9A-598664751BFB}" name="Overall" dataDxfId="1895">
      <calculatedColumnFormula>SUM(D243:O243)</calculatedColumnFormula>
    </tableColumn>
    <tableColumn id="16" xr3:uid="{E12CB6D6-75DD-4968-A170-F0AD58F4E074}" name="Cup" dataDxfId="1894">
      <calculatedColumnFormula>P243-IFERROR(SMALL(D243:INDIRECT(ADDRESS(ROW(),4+Settings[Value])), 1),0)-IFERROR(SMALL(D243:INDIRECT(ADDRESS(ROW(),4+Settings[Value])),2),0)</calculatedColumnFormula>
    </tableColumn>
  </tableColumns>
  <tableStyleInfo name="TableStyleLight8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9E1F5EC9-93B9-49B6-896E-2ACB17D2E6C4}" name="Table38" displayName="Table38" ref="A262:Q299" totalsRowShown="0" headerRowDxfId="1893" dataDxfId="1892" tableBorderDxfId="1891">
  <autoFilter ref="A262:Q299" xr:uid="{7120C545-4A94-4AA9-97EB-B6DE8577AC44}"/>
  <sortState ref="A263:Q299">
    <sortCondition descending="1" ref="Q262:Q299"/>
  </sortState>
  <tableColumns count="17">
    <tableColumn id="1" xr3:uid="{3E3C6DFB-4A93-4E49-A0AD-9B73506C799E}" name="Last" dataDxfId="1890"/>
    <tableColumn id="2" xr3:uid="{02AD79F1-1725-43CE-8B2D-3A9DD922166E}" name="First" dataDxfId="1889"/>
    <tableColumn id="17" xr3:uid="{C1FB4305-CDAC-4E71-BD1F-E22527C5FBDA}" name="Team" dataDxfId="1888"/>
    <tableColumn id="3" xr3:uid="{1E47B38C-1CEA-402E-8FDE-E4117A7B4485}" name="1" dataDxfId="1887"/>
    <tableColumn id="4" xr3:uid="{3893BF1B-DB63-4249-AAAF-D8251E7517CF}" name="2" dataDxfId="1886"/>
    <tableColumn id="5" xr3:uid="{DB5B97A0-5E15-4272-9291-8B9807191507}" name="3" dataDxfId="1885"/>
    <tableColumn id="6" xr3:uid="{BDAC6445-61E4-4AE9-9D15-9FA8564205E6}" name="4" dataDxfId="1884"/>
    <tableColumn id="7" xr3:uid="{8F0A3030-9489-4B45-9C72-423B5DF5284A}" name="5" dataDxfId="1883"/>
    <tableColumn id="8" xr3:uid="{60406286-25A6-446C-9132-0C790BD5622A}" name="6" dataDxfId="1882"/>
    <tableColumn id="9" xr3:uid="{93BB6FE7-065F-42B6-ABA2-09CCEE79D8DF}" name="7" dataDxfId="1881"/>
    <tableColumn id="10" xr3:uid="{5FD88818-DFCC-4A4B-AA39-F81C6DBDDF21}" name="8" dataDxfId="1880"/>
    <tableColumn id="11" xr3:uid="{E8A48828-A659-4390-97A0-26093A75CCBE}" name="9" dataDxfId="1879"/>
    <tableColumn id="12" xr3:uid="{B9F511D7-95BB-426D-AFD7-D24F88D7FB6E}" name="10" dataDxfId="1878"/>
    <tableColumn id="13" xr3:uid="{3AC5971E-2B08-456B-8B5A-DA16E00B2B07}" name="11" dataDxfId="1877"/>
    <tableColumn id="14" xr3:uid="{34E701EF-4D5F-4874-A1FA-BC36598EAD93}" name="12" dataDxfId="1876"/>
    <tableColumn id="15" xr3:uid="{7DC358B8-399D-4D89-BBA5-80220EA38C1F}" name="Overall" dataDxfId="1875">
      <calculatedColumnFormula>SUM(D263:O263)</calculatedColumnFormula>
    </tableColumn>
    <tableColumn id="16" xr3:uid="{DD252482-9922-49D7-978F-0D9F9C74950E}" name="Cup" dataDxfId="1874">
      <calculatedColumnFormula>P263-IFERROR(SMALL(D263:INDIRECT(ADDRESS(ROW(),4+Settings[Value])), 1),0)-IFERROR(SMALL(D263:INDIRECT(ADDRESS(ROW(),4+Settings[Value])),2),0)</calculatedColumnFormula>
    </tableColumn>
  </tableColumns>
  <tableStyleInfo name="TableStyleLight8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7932EF2E-B22B-4514-AAEE-3DC11F7EF0A9}" name="Table39" displayName="Table39" ref="A303:Q312" totalsRowShown="0" headerRowDxfId="1873" dataDxfId="1872" tableBorderDxfId="1871">
  <autoFilter ref="A303:Q312" xr:uid="{13DEE1C2-92D8-4B31-A0C0-9D9EE348FE1A}"/>
  <sortState ref="A304:Q312">
    <sortCondition descending="1" ref="Q303:Q312"/>
  </sortState>
  <tableColumns count="17">
    <tableColumn id="1" xr3:uid="{066C8871-695A-4ADB-BE13-02113A8D6E23}" name="Last" dataDxfId="1870"/>
    <tableColumn id="2" xr3:uid="{D17BC326-1332-4BA3-AE08-E5D861C17051}" name="First" dataDxfId="1869"/>
    <tableColumn id="17" xr3:uid="{BC5E10A6-699F-44EB-903B-ED01611F2F94}" name="Team" dataDxfId="1868"/>
    <tableColumn id="3" xr3:uid="{D17042D6-70FB-4D14-B19A-B7FAF8E350F2}" name="1" dataDxfId="1867"/>
    <tableColumn id="4" xr3:uid="{91787533-E162-40E0-9F70-243848E5DAEE}" name="2" dataDxfId="1866"/>
    <tableColumn id="5" xr3:uid="{EB5A2BB8-2CF8-4BC6-83D1-4FB4B110818C}" name="3" dataDxfId="1865"/>
    <tableColumn id="6" xr3:uid="{E8D2F2C2-9CDA-4307-86B4-EA3210AD735A}" name="4" dataDxfId="1864"/>
    <tableColumn id="7" xr3:uid="{B9B8BEE3-C026-4689-8B84-E71FBA5C7CB5}" name="5" dataDxfId="1863"/>
    <tableColumn id="8" xr3:uid="{E2DC55F3-29C4-41B8-8CE6-5C0C600E4000}" name="6" dataDxfId="1862"/>
    <tableColumn id="9" xr3:uid="{8BD7327D-1030-4118-A6DA-089716CB59E3}" name="7" dataDxfId="1861"/>
    <tableColumn id="10" xr3:uid="{3F0680E9-1F57-41AD-8980-AB5F3FB3F4FE}" name="8" dataDxfId="1860"/>
    <tableColumn id="11" xr3:uid="{1CE23DC4-E8D8-4767-AF69-9B477FC89E5B}" name="9" dataDxfId="1859"/>
    <tableColumn id="12" xr3:uid="{D77DB324-5E73-43EC-B7D4-A1F452D62087}" name="10" dataDxfId="1858"/>
    <tableColumn id="13" xr3:uid="{2B2CD18F-67E6-4D62-94D6-C940DFC7963D}" name="11" dataDxfId="1857"/>
    <tableColumn id="14" xr3:uid="{28D8AEA6-B8E1-4390-990C-7B2B87BE5175}" name="12" dataDxfId="1856"/>
    <tableColumn id="15" xr3:uid="{655EB3E2-9A0C-4A31-ABC4-CB418436C12D}" name="Overall" dataDxfId="1855">
      <calculatedColumnFormula>SUM(D304:O304)</calculatedColumnFormula>
    </tableColumn>
    <tableColumn id="16" xr3:uid="{7839633C-16CE-4D76-BC34-7EBF830033EA}" name="Cup" dataDxfId="1854">
      <calculatedColumnFormula>P304-IFERROR(SMALL(D304:INDIRECT(ADDRESS(ROW(),4+Settings[Value])), 1),0)-IFERROR(SMALL(D304:INDIRECT(ADDRESS(ROW(),4+Settings[Value])),2),0)</calculatedColumnFormula>
    </tableColumn>
  </tableColumns>
  <tableStyleInfo name="TableStyleLight8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C9B7E83D-D938-4E86-8ABC-532D9AD87612}" name="Table40" displayName="Table40" ref="A315:Q340" totalsRowShown="0" headerRowDxfId="1853" dataDxfId="1852" tableBorderDxfId="1851">
  <autoFilter ref="A315:Q340" xr:uid="{14AB4DB1-909E-4DB5-91BF-B7D1F2AABD03}"/>
  <sortState ref="A316:Q340">
    <sortCondition descending="1" ref="Q315:Q340"/>
  </sortState>
  <tableColumns count="17">
    <tableColumn id="1" xr3:uid="{D7FD2947-DC95-4CDC-A288-2DF4D2B4C91E}" name="Last" dataDxfId="1850"/>
    <tableColumn id="2" xr3:uid="{29EC6273-0F33-45DB-BF5D-116895B416F1}" name="First" dataDxfId="1849"/>
    <tableColumn id="17" xr3:uid="{915977E2-0C71-4A14-8BAC-9160ACEB4655}" name="Team" dataDxfId="1848"/>
    <tableColumn id="3" xr3:uid="{12EB6858-420E-41AB-8DA6-DD64C63A4A7A}" name="1" dataDxfId="1847"/>
    <tableColumn id="4" xr3:uid="{CC622DC3-AB47-4C73-9D70-F1ADD0B3842B}" name="2" dataDxfId="1846"/>
    <tableColumn id="5" xr3:uid="{450C110A-8DCD-4DAA-8585-A5E35E239C38}" name="3" dataDxfId="1845"/>
    <tableColumn id="6" xr3:uid="{8C9B5DB3-A04A-46A0-859B-506DB161748E}" name="4" dataDxfId="1844"/>
    <tableColumn id="7" xr3:uid="{BEC2BE68-630E-446E-9942-CA64ADCD5113}" name="5" dataDxfId="1843"/>
    <tableColumn id="8" xr3:uid="{554AF4B6-0C10-4A29-97EB-41C7FD311A91}" name="6" dataDxfId="1842"/>
    <tableColumn id="9" xr3:uid="{9C575A17-A400-4FB2-83CD-DADBA65CCCD9}" name="7" dataDxfId="1841"/>
    <tableColumn id="10" xr3:uid="{8384F4B0-AA39-403C-9D3A-371FB16A33BC}" name="8" dataDxfId="1840"/>
    <tableColumn id="11" xr3:uid="{B8DD6700-F22D-42DF-8BC2-21DB076372DE}" name="9" dataDxfId="1839"/>
    <tableColumn id="12" xr3:uid="{BDC7EC8B-56E7-4A55-8073-CA8E8107AD6D}" name="10" dataDxfId="1838"/>
    <tableColumn id="13" xr3:uid="{F7FD4A27-F8FB-4926-B82F-76BEFEC9AA36}" name="11" dataDxfId="1837"/>
    <tableColumn id="14" xr3:uid="{B8A1389B-D9A4-4866-A9DA-E80C4D82161A}" name="12" dataDxfId="1836"/>
    <tableColumn id="15" xr3:uid="{81CF96DF-3594-46C9-A1AE-100093E2FEC8}" name="Overall" dataDxfId="1835">
      <calculatedColumnFormula>SUM(D316:O316)</calculatedColumnFormula>
    </tableColumn>
    <tableColumn id="16" xr3:uid="{9D4F6A20-CEE3-4F01-ACB7-6DF91F3EC12A}" name="Cup" dataDxfId="1834">
      <calculatedColumnFormula>P316-IFERROR(SMALL(D316:INDIRECT(ADDRESS(ROW(),4+Settings[Value])), 1),0)-IFERROR(SMALL(D316:INDIRECT(ADDRESS(ROW(),4+Settings[Value])),2),0)</calculatedColumnFormula>
    </tableColumn>
  </tableColumns>
  <tableStyleInfo name="TableStyleLight8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2271A97A-7520-482A-BB16-05E401641A46}" name="Table41" displayName="Table41" ref="A343:Q356" totalsRowShown="0" headerRowDxfId="1833" dataDxfId="1832" tableBorderDxfId="1831">
  <autoFilter ref="A343:Q356" xr:uid="{51BD0785-634A-4742-8CEB-651505EF220D}"/>
  <sortState ref="A344:Q356">
    <sortCondition descending="1" ref="Q343:Q356"/>
  </sortState>
  <tableColumns count="17">
    <tableColumn id="1" xr3:uid="{4052684C-44D2-4C9D-B277-978AFE01DD93}" name="Last" dataDxfId="1830"/>
    <tableColumn id="2" xr3:uid="{64F6489D-DFCA-47A5-B626-C511CDA40AE0}" name="First" dataDxfId="1829"/>
    <tableColumn id="17" xr3:uid="{B5AE10B8-78F0-43A2-BBB5-A80EB4DF6A36}" name="Team" dataDxfId="1828"/>
    <tableColumn id="3" xr3:uid="{85180670-7943-4D58-A0CF-4715EC006AE2}" name="1" dataDxfId="1827"/>
    <tableColumn id="4" xr3:uid="{7D23BFD9-2BD8-46CC-A474-CE2F523C5EAA}" name="2" dataDxfId="1826"/>
    <tableColumn id="5" xr3:uid="{B6239A16-DA7F-46FB-B162-5CBB21009032}" name="3" dataDxfId="1825"/>
    <tableColumn id="6" xr3:uid="{7285339F-6BCF-4E0D-A9CF-DAB5D7AC294D}" name="4" dataDxfId="1824"/>
    <tableColumn id="7" xr3:uid="{37FE4F77-5E73-4CF1-BCB8-29DAB89BF338}" name="5" dataDxfId="1823"/>
    <tableColumn id="8" xr3:uid="{C2C3B353-CA57-4075-BB43-A2D62DBD6B4C}" name="6" dataDxfId="1822"/>
    <tableColumn id="9" xr3:uid="{68F94C84-D9C6-4C6F-BC7E-4248DDB09A05}" name="7" dataDxfId="1821"/>
    <tableColumn id="10" xr3:uid="{780F05EF-8879-4DB0-89DD-7670E1B1D4C7}" name="8" dataDxfId="1820"/>
    <tableColumn id="11" xr3:uid="{1EADF9A2-7968-40F9-B2E2-C61E91F3731B}" name="9" dataDxfId="1819"/>
    <tableColumn id="12" xr3:uid="{4B3B50EA-223C-4F25-974C-E9BD00E06707}" name="10" dataDxfId="1818"/>
    <tableColumn id="13" xr3:uid="{9D697983-D594-45F0-B4D7-EC6CD5D0CDC0}" name="11" dataDxfId="1817"/>
    <tableColumn id="14" xr3:uid="{FD8355A9-BC5D-4987-9584-148C341C1269}" name="12" dataDxfId="1816"/>
    <tableColumn id="15" xr3:uid="{BB4E49DE-6DB6-4CA7-84F2-02145DC53431}" name="Overall" dataDxfId="1815">
      <calculatedColumnFormula>SUM(D344:O344)</calculatedColumnFormula>
    </tableColumn>
    <tableColumn id="16" xr3:uid="{5092D1A2-228A-4D69-922B-6D6A0FB22F1A}" name="Cup" dataDxfId="1814">
      <calculatedColumnFormula>P344-IFERROR(SMALL(D344:INDIRECT(ADDRESS(ROW(),4+Settings[Value])), 1),0)-IFERROR(SMALL(D344:INDIRECT(ADDRESS(ROW(),4+Settings[Value])),2),0)</calculatedColumnFormula>
    </tableColumn>
  </tableColumns>
  <tableStyleInfo name="TableStyleLight8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4202E29-A8F2-43DB-8318-B831FDD7E450}" name="Table1" displayName="Table1" ref="A1:H12" totalsRowShown="0">
  <autoFilter ref="A1:H12" xr:uid="{2BE81515-F432-403B-B177-0191F3B6EF4A}"/>
  <tableColumns count="8">
    <tableColumn id="1" xr3:uid="{D0439BCF-DD07-4B3F-B96F-BCFC741DEBA5}" name="Place"/>
    <tableColumn id="7" xr3:uid="{4A00A546-F6BD-453F-89ED-8CA0A6314F81}" name="Points" dataDxfId="1811">
      <calculatedColumnFormula>IF(H2=1,MAX(21-A2,0),0)</calculatedColumnFormula>
    </tableColumn>
    <tableColumn id="2" xr3:uid="{850D69A7-D3A9-4511-9924-67F171E60AB8}" name="Last"/>
    <tableColumn id="3" xr3:uid="{36E67AF6-CB99-492E-A0D3-66449C16B550}" name="First"/>
    <tableColumn id="4" xr3:uid="{E6876DD1-EBB4-438B-BC13-90B11A3C6E82}" name="Team"/>
    <tableColumn id="5" xr3:uid="{C68DDD72-303B-4DE8-9536-57FA779AB54B}" name="Time" dataDxfId="1810"/>
    <tableColumn id="6" xr3:uid="{8544DC8D-636A-45B4-83C4-4B6D664C107F}" name="Category"/>
    <tableColumn id="8" xr3:uid="{69DD9BEA-4ABF-418D-9ED8-C1618466EBE1}" name="Valid" dataDxfId="1809">
      <calculatedColumnFormula>COUNTIF(ValidTeams[],E2)</calculatedColumnFormula>
    </tableColumn>
  </tableColumns>
  <tableStyleInfo name="TableStyleLight8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31A21C7-B05C-4E79-B42D-A28DCADC6098}" name="Table2" displayName="Table2" ref="A14:H24" totalsRowShown="0">
  <autoFilter ref="A14:H24" xr:uid="{C25A9C4A-FB27-47B1-9547-9602F89B7537}"/>
  <tableColumns count="8">
    <tableColumn id="1" xr3:uid="{E88E5EF1-E1D6-4B75-8F92-26214B59A544}" name="Place"/>
    <tableColumn id="7" xr3:uid="{8057C4B8-D563-4556-BAEF-A6590D184CAF}" name="Points" dataDxfId="1808">
      <calculatedColumnFormula>IF(H15=1,MAX(21-A15,0),0)</calculatedColumnFormula>
    </tableColumn>
    <tableColumn id="2" xr3:uid="{55B7124D-A53A-412B-9852-6920395DC236}" name="Last"/>
    <tableColumn id="3" xr3:uid="{42B74201-F2F0-4A45-86BE-F622E39550C1}" name="First"/>
    <tableColumn id="4" xr3:uid="{8DDE2750-D0F0-4819-9C66-1D20B98E212B}" name="Team"/>
    <tableColumn id="5" xr3:uid="{26F9ECE7-68B2-4138-BA8C-88D9764E4C47}" name="Time" dataDxfId="1807"/>
    <tableColumn id="6" xr3:uid="{F6A2CB33-4044-4A8B-B1B5-0C21F8EF2DE7}" name="Category"/>
    <tableColumn id="8" xr3:uid="{A67C6A54-B82B-4E69-B746-5C3E025AAF83}" name="Column1" dataDxfId="1806">
      <calculatedColumnFormula>COUNTIF(ValidTeams[],E15)</calculatedColumnFormula>
    </tableColumn>
  </tableColumns>
  <tableStyleInfo name="TableStyleLight8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4E440B7-A6F1-4060-BB9A-8365295EDB57}" name="Table3" displayName="Table3" ref="A26:G32" totalsRowShown="0">
  <autoFilter ref="A26:G32" xr:uid="{B49FE676-3971-4254-B3CE-8A0E8A4B0CB6}"/>
  <tableColumns count="7">
    <tableColumn id="1" xr3:uid="{B8FE87BA-C7A6-429F-A7E3-E0248257D6BF}" name="Place"/>
    <tableColumn id="2" xr3:uid="{FDFB39AF-0AEE-4B50-831F-7E7D77363638}" name="Points"/>
    <tableColumn id="3" xr3:uid="{F311F751-00A3-4DD7-9AF4-1DC32334CFBC}" name="Last"/>
    <tableColumn id="4" xr3:uid="{1A2EE115-CD89-455D-8C7B-8209710EF155}" name="First"/>
    <tableColumn id="5" xr3:uid="{9453D5CB-7263-4912-B2B8-2F3A245B194F}" name="Team" dataDxfId="1805"/>
    <tableColumn id="6" xr3:uid="{B8C72E1C-9509-4242-8FC3-57F94333BE5C}" name="Time" dataDxfId="1804"/>
    <tableColumn id="7" xr3:uid="{90783B8D-F0C7-473E-9526-1217D13778B4}" name="Category"/>
  </tableColumns>
  <tableStyleInfo name="TableStyleLight8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8D4E18E-A413-42A8-A07D-5B2D98F5CF7A}" name="Table4" displayName="Table4" ref="A34:G37" totalsRowShown="0" headerRowDxfId="1803" dataDxfId="1802" tableBorderDxfId="1801">
  <autoFilter ref="A34:G37" xr:uid="{7EF120C7-4833-43B1-A932-0A569965E78A}"/>
  <tableColumns count="7">
    <tableColumn id="1" xr3:uid="{D1AAF85B-C7DA-44F5-BD1A-8B51367954EB}" name="Place" dataDxfId="1800"/>
    <tableColumn id="2" xr3:uid="{959845FC-B11D-418D-8B85-8AF52DF132D8}" name="Points" dataDxfId="1799"/>
    <tableColumn id="3" xr3:uid="{9686FB6A-FCA8-4B94-A52B-8BD162A5D03E}" name="Last" dataDxfId="1798"/>
    <tableColumn id="4" xr3:uid="{D96692C2-CD65-4D44-8786-E9997A786B53}" name="First" dataDxfId="1797"/>
    <tableColumn id="5" xr3:uid="{A35918CC-2E31-4CBB-81EE-12429069C9FC}" name="Team" dataDxfId="1796"/>
    <tableColumn id="6" xr3:uid="{C7313BCC-6724-437E-8AEE-C3AF6CE2D328}" name="Time" dataDxfId="1795"/>
    <tableColumn id="7" xr3:uid="{0A87891B-45C9-4100-9A9B-CD3E982051E0}" name="Category" dataDxfId="1794"/>
  </tableColumns>
  <tableStyleInfo name="TableStyleLight8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BC0B570-95B1-46BE-8F85-865E394DAA7C}" name="Table5" displayName="Table5" ref="A39:G41" totalsRowShown="0" headerRowDxfId="1793" dataDxfId="1792" tableBorderDxfId="1791">
  <autoFilter ref="A39:G41" xr:uid="{45671861-392C-46D5-8949-81D3A5BB3FB1}"/>
  <tableColumns count="7">
    <tableColumn id="1" xr3:uid="{53B2DDE1-E74F-4208-A9CA-3A2DF25862E9}" name="Place" dataDxfId="1790"/>
    <tableColumn id="2" xr3:uid="{93B57171-306F-4147-B0CB-06381E796156}" name="Points" dataDxfId="1789"/>
    <tableColumn id="3" xr3:uid="{4FB3809E-5560-4BF3-945B-5CC151DDFC8A}" name="Last" dataDxfId="1788"/>
    <tableColumn id="4" xr3:uid="{6C786662-04C6-416E-A85A-72E8A243E417}" name="First" dataDxfId="1787"/>
    <tableColumn id="5" xr3:uid="{C5CCB2A1-886A-4EF4-B1F3-D8364044AECF}" name="Team" dataDxfId="1786"/>
    <tableColumn id="6" xr3:uid="{93296974-1C05-44F6-94B1-54274950933D}" name="Time" dataDxfId="1785"/>
    <tableColumn id="7" xr3:uid="{F09F9C31-7D86-483E-98FB-B5087C013CE4}" name="Category" dataDxfId="1784"/>
  </tableColumns>
  <tableStyleInfo name="TableStyleLight8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BA802E7-6C2C-4B65-907D-0DA39F3897A7}" name="Table6" displayName="Table6" ref="A43:G46" totalsRowShown="0" headerRowDxfId="1783" dataDxfId="1782" tableBorderDxfId="1781">
  <autoFilter ref="A43:G46" xr:uid="{DD4C0487-3C1D-48CE-889D-00B3DCBBD5DC}"/>
  <tableColumns count="7">
    <tableColumn id="1" xr3:uid="{07752EC0-53DA-424C-9CAA-95529EE0E710}" name="Place" dataDxfId="1780"/>
    <tableColumn id="2" xr3:uid="{C805A05C-7F99-4705-9E6A-DF0EEFE46F60}" name="Points" dataDxfId="1779"/>
    <tableColumn id="3" xr3:uid="{0A907F3A-60CB-425A-8D12-EFA71EE959FA}" name="Last" dataDxfId="1778"/>
    <tableColumn id="4" xr3:uid="{23D9DC0C-9985-44FF-B6AC-7E4B441AAA91}" name="First" dataDxfId="1777"/>
    <tableColumn id="5" xr3:uid="{87334D11-2044-4FCD-80FE-7FA0DD6819A5}" name="Team" dataDxfId="1776"/>
    <tableColumn id="6" xr3:uid="{ED184961-BD67-4D3E-8877-96B91B5D5679}" name="Time" dataDxfId="1775"/>
    <tableColumn id="7" xr3:uid="{DA5C7F9C-5572-43A8-BFD0-BE8609FC4B5C}" name="Category" dataDxfId="1774"/>
  </tableColumns>
  <tableStyleInfo name="TableStyleLight8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8B85BCF-6A2A-483F-B038-254CAD76FAA3}" name="Table7" displayName="Table7" ref="A48:G49" totalsRowShown="0" headerRowDxfId="1773" dataDxfId="1772" tableBorderDxfId="1771">
  <autoFilter ref="A48:G49" xr:uid="{AFB287A9-7DDA-476C-B93D-7F22CBF72CDB}"/>
  <tableColumns count="7">
    <tableColumn id="1" xr3:uid="{DC599639-FF82-41A3-8AD5-3CC35E81BA7E}" name="Place" dataDxfId="1770"/>
    <tableColumn id="2" xr3:uid="{8855F8C7-C1C0-41E7-9F4D-FC079FCC18E5}" name="Points" dataDxfId="1769"/>
    <tableColumn id="3" xr3:uid="{D280BF73-3B99-4339-AE9D-0C0C918EFD83}" name="Last" dataDxfId="1768"/>
    <tableColumn id="4" xr3:uid="{30FA1120-3654-42BE-AE18-4D87D7129A38}" name="First" dataDxfId="1767"/>
    <tableColumn id="5" xr3:uid="{44914A3C-A74E-4699-90F9-5908CB5FF97C}" name="Team" dataDxfId="1766"/>
    <tableColumn id="6" xr3:uid="{74436ED6-ABCC-410B-9F60-1A0A33861374}" name="Time" dataDxfId="1765"/>
    <tableColumn id="7" xr3:uid="{F4CA5E76-8953-44F7-9D13-3B4EABEE9FA7}" name="Category" dataDxfId="1764"/>
  </tableColumns>
  <tableStyleInfo name="TableStyleLight8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B20A99B-B7DE-4788-8BC0-C5BF5B9DEECD}" name="Table8" displayName="Table8" ref="A51:G52" totalsRowShown="0" headerRowDxfId="1763" dataDxfId="1762" tableBorderDxfId="1761">
  <autoFilter ref="A51:G52" xr:uid="{327265BE-D992-426A-B3AB-F69BDF1C9F11}"/>
  <tableColumns count="7">
    <tableColumn id="1" xr3:uid="{327B8A77-49D4-42C4-8971-FE69E8335477}" name="Place" dataDxfId="1760"/>
    <tableColumn id="2" xr3:uid="{F91019DA-47C5-47D0-A8F4-C332F22A834C}" name="Points" dataDxfId="1759"/>
    <tableColumn id="3" xr3:uid="{60B198D0-44B7-4D94-B3D4-543D1F9796D4}" name="Last" dataDxfId="1758"/>
    <tableColumn id="4" xr3:uid="{410CB0AB-EBC7-4F9C-897A-522E5B2636F2}" name="First" dataDxfId="1757"/>
    <tableColumn id="5" xr3:uid="{5B162C37-BA8B-4B68-B134-71A33023A05F}" name="Team" dataDxfId="1756"/>
    <tableColumn id="6" xr3:uid="{A880DC4F-76EB-46D6-851A-5C3B2B6AB97F}" name="Time" dataDxfId="1755"/>
    <tableColumn id="7" xr3:uid="{A530C771-70B1-4BF0-A27C-DC42D64CF83F}" name="Category" dataDxfId="1754"/>
  </tableColumns>
  <tableStyleInfo name="TableStyleLight8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5A60BB4-8231-45CD-8722-C3174B48AAF4}" name="Table9" displayName="Table9" ref="A54:H59" totalsRowShown="0" headerRowDxfId="1753" dataDxfId="1752" tableBorderDxfId="1751">
  <autoFilter ref="A54:H59" xr:uid="{DEE8DB81-02A0-4B3D-955D-BF6B08106958}"/>
  <tableColumns count="8">
    <tableColumn id="1" xr3:uid="{27A24293-EDEB-46FB-86D3-9FAB3D4452ED}" name="Place" dataDxfId="1750"/>
    <tableColumn id="2" xr3:uid="{E33D0677-5670-41AE-B2A6-EFA6AB4AE573}" name="Points" dataDxfId="1749">
      <calculatedColumnFormula>IF(H55=1,MAX(21-A55,0),0)</calculatedColumnFormula>
    </tableColumn>
    <tableColumn id="3" xr3:uid="{26843720-D0BC-4E67-9E65-2D89A5E05A25}" name="Last" dataDxfId="1748"/>
    <tableColumn id="4" xr3:uid="{C4EC6D46-B71F-4424-8E53-8874A01C1186}" name="First" dataDxfId="1747"/>
    <tableColumn id="5" xr3:uid="{AA1F3DFB-C0AB-40B2-B7E2-7B8241AE3F49}" name="Team" dataDxfId="1746"/>
    <tableColumn id="6" xr3:uid="{9A17F7A0-3EB0-459D-923C-E71995F4A9F2}" name="Time" dataDxfId="1745"/>
    <tableColumn id="7" xr3:uid="{30B5BF6D-C1F5-4717-BA76-0E8B7A656261}" name="Category" dataDxfId="1744"/>
    <tableColumn id="8" xr3:uid="{3E8C9219-F065-4EF6-95BB-B2187C3E5BD2}" name="Column1" dataDxfId="1743">
      <calculatedColumnFormula>COUNTIF(ValidTeams[],E55)</calculatedColumnFormula>
    </tableColumn>
  </tableColumns>
  <tableStyleInfo name="TableStyleLight8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BBB1256-9FAF-4D88-A0C8-AB081F6D15A5}" name="Table10" displayName="Table10" ref="A61:H67" totalsRowShown="0" headerRowDxfId="1742" dataDxfId="1741" tableBorderDxfId="1740">
  <autoFilter ref="A61:H67" xr:uid="{D94FE680-30EE-468C-B0C7-D95D6D58BE3A}"/>
  <tableColumns count="8">
    <tableColumn id="1" xr3:uid="{1BFB3755-7550-4078-A78E-F0AE8A236A99}" name="Place" dataDxfId="1739"/>
    <tableColumn id="2" xr3:uid="{74A79756-7F16-4487-84E2-2734646A2C2E}" name="Points" dataDxfId="1738">
      <calculatedColumnFormula>IF(H62=1,MAX(21-A62,0),0)</calculatedColumnFormula>
    </tableColumn>
    <tableColumn id="3" xr3:uid="{24EBEFDA-4386-4AF5-8602-15B23011AF71}" name="Last" dataDxfId="1737"/>
    <tableColumn id="4" xr3:uid="{F1BE868B-691E-4A82-88A8-47A9368D177C}" name="First" dataDxfId="1736"/>
    <tableColumn id="5" xr3:uid="{2010E49B-98F3-46D4-AE2B-3EDE37324E7E}" name="Team" dataDxfId="1735"/>
    <tableColumn id="6" xr3:uid="{A67206D5-EC14-4F99-B443-2C798CF7FE8F}" name="Time" dataDxfId="1734"/>
    <tableColumn id="7" xr3:uid="{3D7A5C00-82F9-48FD-80D3-78758B99C6F9}" name="Category" dataDxfId="1733"/>
    <tableColumn id="8" xr3:uid="{BDCC4246-A168-4AB7-B270-411AFC6C4932}" name="Column1" dataDxfId="1732">
      <calculatedColumnFormula>COUNTIF(ValidTeams[],E62)</calculatedColumnFormula>
    </tableColumn>
  </tableColumns>
  <tableStyleInfo name="TableStyleLight8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96D1821-E706-4C7F-BA10-F1AA74D2F89C}" name="Table11" displayName="Table11" ref="A69:H82" totalsRowShown="0" headerRowDxfId="1731" dataDxfId="1730" tableBorderDxfId="1729">
  <autoFilter ref="A69:H82" xr:uid="{8DB3CF6A-DE15-42E5-9DE4-8E377BFEF7FB}"/>
  <tableColumns count="8">
    <tableColumn id="1" xr3:uid="{E58BE7F2-C593-4757-8084-A81403ABD414}" name="Place" dataDxfId="1728"/>
    <tableColumn id="2" xr3:uid="{21C1F84D-6392-4706-A286-1AD81D36D9BF}" name="Points" dataDxfId="1727">
      <calculatedColumnFormula>IF(H70=1,MAX(21-A70,0),0)</calculatedColumnFormula>
    </tableColumn>
    <tableColumn id="3" xr3:uid="{8950985B-8330-4C54-83C9-919CFAC7DACE}" name="Last" dataDxfId="1726"/>
    <tableColumn id="4" xr3:uid="{7B4B7159-28D6-4CBD-9776-AC32255D79C1}" name="First" dataDxfId="1725"/>
    <tableColumn id="5" xr3:uid="{0390BDC1-A32E-4054-8623-9E603DA2C2FF}" name="Team" dataDxfId="1724"/>
    <tableColumn id="6" xr3:uid="{81E470EE-918E-4DA2-A606-C6CD8037F5E3}" name="Time" dataDxfId="1723"/>
    <tableColumn id="7" xr3:uid="{870227AD-2E7C-4557-A5BC-9FC62A85572D}" name="Category" dataDxfId="1722"/>
    <tableColumn id="8" xr3:uid="{8AC438B8-5CDA-4B49-9C6E-05F6BE343099}" name="Column1" dataDxfId="1721">
      <calculatedColumnFormula>COUNTIF(ValidTeams[],E70)</calculatedColumnFormula>
    </tableColumn>
  </tableColumns>
  <tableStyleInfo name="TableStyleLight8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53DC0C-C2F9-4EFA-96E7-801099F8AFC2}" name="Table12" displayName="Table12" ref="A84:H93" totalsRowShown="0" headerRowDxfId="1720" dataDxfId="1719" tableBorderDxfId="1718">
  <autoFilter ref="A84:H93" xr:uid="{11C18E5B-2665-42D7-868D-9FA168F847E1}"/>
  <tableColumns count="8">
    <tableColumn id="1" xr3:uid="{284E11C4-841B-4B2D-B730-9D39580AE141}" name="Place" dataDxfId="1717"/>
    <tableColumn id="2" xr3:uid="{AC475AB4-A610-4C46-8E2C-3E0055B0DEF1}" name="Points" dataDxfId="1716">
      <calculatedColumnFormula>IF(H85=1,MAX(21-A85,0),0)</calculatedColumnFormula>
    </tableColumn>
    <tableColumn id="3" xr3:uid="{E67CBFC8-40BC-483F-B9D3-0BC22E5C7574}" name="Last" dataDxfId="1715"/>
    <tableColumn id="4" xr3:uid="{AA849873-A342-4F33-B7E0-D140E69FADAD}" name="First" dataDxfId="1714"/>
    <tableColumn id="5" xr3:uid="{12B19892-2D62-4473-8883-4A61B4D6A4F5}" name="Team" dataDxfId="1713"/>
    <tableColumn id="6" xr3:uid="{06E17E41-98BD-49B4-8598-71EC1FBD1068}" name="Time" dataDxfId="1712"/>
    <tableColumn id="7" xr3:uid="{D2EDF3DE-0CC6-4C7D-B7B0-2CAA60239376}" name="Category" dataDxfId="1711"/>
    <tableColumn id="8" xr3:uid="{E319C81A-429F-48E2-91AA-B58CE225E58A}" name="Column1" dataDxfId="1710">
      <calculatedColumnFormula>COUNTIF(ValidTeams[],E85)</calculatedColumnFormula>
    </tableColumn>
  </tableColumns>
  <tableStyleInfo name="TableStyleLight8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AE49FB1-1D92-45BF-AE4A-4C7D53448ED7}" name="Table13" displayName="Table13" ref="A95:H101" totalsRowShown="0" headerRowDxfId="1709" dataDxfId="1708" tableBorderDxfId="1707">
  <autoFilter ref="A95:H101" xr:uid="{5C62EA4D-B4AF-459A-9C78-1DDC91C11162}"/>
  <tableColumns count="8">
    <tableColumn id="1" xr3:uid="{41C0B3A0-4F94-460C-9DB3-ADA3CCBE5A7C}" name="Place" dataDxfId="1706"/>
    <tableColumn id="2" xr3:uid="{6FE18E04-9C1D-4462-9877-AF6FB336E501}" name="Points" dataDxfId="1705">
      <calculatedColumnFormula>IF(H96=1,MAX(21-A96,0),0)</calculatedColumnFormula>
    </tableColumn>
    <tableColumn id="3" xr3:uid="{766EC0C9-CE14-48D2-972C-106E3EF89D49}" name="Last" dataDxfId="1704"/>
    <tableColumn id="4" xr3:uid="{3EA71388-FD42-40E6-9E9F-BD5A88D44B10}" name="First" dataDxfId="1703"/>
    <tableColumn id="5" xr3:uid="{6AFF5387-A09B-4A9C-B870-180844811763}" name="Team" dataDxfId="1702"/>
    <tableColumn id="6" xr3:uid="{5068F57D-4394-4CB4-B15D-B9BDCA4493C8}" name="Time" dataDxfId="1701"/>
    <tableColumn id="7" xr3:uid="{EFC7622B-0A1E-4243-B132-A9F6D2BA74F2}" name="Category" dataDxfId="1700"/>
    <tableColumn id="8" xr3:uid="{71BA94DF-FB38-4DAB-AFDD-38B88C73CB19}" name="Column1" dataDxfId="1699">
      <calculatedColumnFormula>COUNTIF(ValidTeams[],E96)</calculatedColumnFormula>
    </tableColumn>
  </tableColumns>
  <tableStyleInfo name="TableStyleLight8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6EEBE2D-07F9-4EAB-AECE-DA38051DB30C}" name="Table14" displayName="Table14" ref="A103:H125" totalsRowShown="0" headerRowDxfId="1698" dataDxfId="1697" tableBorderDxfId="1696">
  <autoFilter ref="A103:H125" xr:uid="{26DCB4CA-2DE7-4A48-9E63-A3B293850C38}"/>
  <tableColumns count="8">
    <tableColumn id="1" xr3:uid="{D298F990-5B6C-44E1-A5AD-431C43A3962C}" name="Place" dataDxfId="1695"/>
    <tableColumn id="2" xr3:uid="{1F2CF9CA-B02C-4CC0-8A80-2D7B85716E9A}" name="Points" dataDxfId="1694">
      <calculatedColumnFormula>IF(H104=1,MAX(21-A104,0),0)</calculatedColumnFormula>
    </tableColumn>
    <tableColumn id="3" xr3:uid="{35F51612-2754-4B90-A964-79343BA457C4}" name="Last" dataDxfId="1693"/>
    <tableColumn id="4" xr3:uid="{89AF8822-CC55-4806-9E72-C982401EA8DA}" name="First" dataDxfId="1692"/>
    <tableColumn id="5" xr3:uid="{BF1BD40E-5984-4B0F-B1BA-3867E04607D0}" name="Team" dataDxfId="1691"/>
    <tableColumn id="6" xr3:uid="{F68AF9F2-4D8E-4537-9FBF-BAE5CBFA66D0}" name="Time" dataDxfId="1690"/>
    <tableColumn id="7" xr3:uid="{B9857103-5F34-43D9-8472-892B38E466CC}" name="Category" dataDxfId="1689"/>
    <tableColumn id="8" xr3:uid="{0A9DC0E9-78DF-4939-9894-C6ED95C4EECB}" name="Column1" dataDxfId="1688">
      <calculatedColumnFormula>COUNTIF(ValidTeams[],E104)</calculatedColumnFormula>
    </tableColumn>
  </tableColumns>
  <tableStyleInfo name="TableStyleLight8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2EBAA-C20D-4472-A1F6-BDF4793788B4}" name="Table15" displayName="Table15" ref="A127:H137" totalsRowShown="0" headerRowDxfId="1687" dataDxfId="1686" tableBorderDxfId="1685">
  <autoFilter ref="A127:H137" xr:uid="{C613AFCE-296E-4B0B-BEBE-924A468844E2}"/>
  <tableColumns count="8">
    <tableColumn id="1" xr3:uid="{49A9127E-9B59-4665-ADEA-0C6E951A6973}" name="Place" dataDxfId="1684"/>
    <tableColumn id="2" xr3:uid="{3D0B271F-8EC1-45EE-AA53-BEAAADC2C08A}" name="Points" dataDxfId="1683">
      <calculatedColumnFormula>IF(H128=1,MAX(21-A128,0),0)</calculatedColumnFormula>
    </tableColumn>
    <tableColumn id="3" xr3:uid="{6D8B65E1-55EE-499F-B441-70195B62F2AA}" name="Last" dataDxfId="1682"/>
    <tableColumn id="4" xr3:uid="{877B066C-4650-4108-8E0B-8186476141F6}" name="First" dataDxfId="1681"/>
    <tableColumn id="5" xr3:uid="{34499B20-7098-4574-8BE8-638AE82851F1}" name="Team" dataDxfId="1680"/>
    <tableColumn id="6" xr3:uid="{FD3B830A-9632-42A6-A010-B603E897D7FE}" name="Time" dataDxfId="1679"/>
    <tableColumn id="7" xr3:uid="{B090279B-6B51-4D08-BD20-9FF28EE7AF49}" name="Category" dataDxfId="1678"/>
    <tableColumn id="8" xr3:uid="{5E7DE12B-CCCB-4516-83EC-39F493533CBB}" name="Column1" dataDxfId="1677">
      <calculatedColumnFormula>COUNTIF(ValidTeams[],E128)</calculatedColumnFormula>
    </tableColumn>
  </tableColumns>
  <tableStyleInfo name="TableStyleLight8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059FD29-BF9C-4FC3-BA7E-B7A522D13DF9}" name="Table16" displayName="Table16" ref="A139:H153" totalsRowShown="0" headerRowDxfId="1676" dataDxfId="1675" tableBorderDxfId="1674">
  <autoFilter ref="A139:H153" xr:uid="{633EC92F-01AA-4268-8AC0-ADD3DB9BC5E8}"/>
  <tableColumns count="8">
    <tableColumn id="1" xr3:uid="{BD7A0AA0-5F2D-4076-90D5-6E6FDBAFBB73}" name="Place" dataDxfId="1673"/>
    <tableColumn id="2" xr3:uid="{5B588658-32F9-471D-B7AB-FE3C252B3320}" name="Points" dataDxfId="1672">
      <calculatedColumnFormula>IF(H140=1,MAX(21-A140,0),0)</calculatedColumnFormula>
    </tableColumn>
    <tableColumn id="3" xr3:uid="{289BE7CD-068C-4620-B650-53E8D4826991}" name="Last" dataDxfId="1671"/>
    <tableColumn id="4" xr3:uid="{B4B15D22-07CB-43DB-8015-00BA3734EEFC}" name="First" dataDxfId="1670"/>
    <tableColumn id="5" xr3:uid="{A295101A-1AE6-4759-9ED7-A9649B70F8B2}" name="Team" dataDxfId="1669"/>
    <tableColumn id="6" xr3:uid="{E0B44C82-48EC-4BC7-8677-CDD9592AF150}" name="Time" dataDxfId="1668"/>
    <tableColumn id="7" xr3:uid="{5C9C9723-9790-49A8-911A-7211B11D9016}" name="Category" dataDxfId="1667"/>
    <tableColumn id="8" xr3:uid="{B5B48E47-833C-4266-91FC-7A2C8A5F2A95}" name="Column1" dataDxfId="1666">
      <calculatedColumnFormula>COUNTIF(ValidTeams[],E140)</calculatedColumnFormula>
    </tableColumn>
  </tableColumns>
  <tableStyleInfo name="TableStyleLight8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050B7E2-6E7D-4474-AFF5-08DB3C790FD8}" name="Table17" displayName="Table17" ref="A155:H158" totalsRowShown="0" headerRowDxfId="1665" dataDxfId="1664" tableBorderDxfId="1663">
  <autoFilter ref="A155:H158" xr:uid="{5B01C281-9700-4C4F-829B-AC07CD26C4E6}"/>
  <tableColumns count="8">
    <tableColumn id="1" xr3:uid="{18909856-5882-4BBE-802E-0599412AB8D0}" name="Place" dataDxfId="1662"/>
    <tableColumn id="2" xr3:uid="{AA922191-ADD5-42C0-B368-6F942EBE0164}" name="Points" dataDxfId="1661">
      <calculatedColumnFormula>IF(H156=1,MAX(21-A156,0),0)</calculatedColumnFormula>
    </tableColumn>
    <tableColumn id="3" xr3:uid="{62A7D2F4-CBF7-4B64-B9EA-52928E8E5056}" name="Last" dataDxfId="1660"/>
    <tableColumn id="4" xr3:uid="{1F1F7A59-E198-4DD3-A059-F4EF66AA4942}" name="First" dataDxfId="1659"/>
    <tableColumn id="5" xr3:uid="{BE35597F-91F2-45BE-AA18-DC0B5A8A97D6}" name="Team" dataDxfId="1658"/>
    <tableColumn id="6" xr3:uid="{883BAEDF-A48C-4DA9-AE8D-0F7E34D4A719}" name="Time" dataDxfId="1657"/>
    <tableColumn id="7" xr3:uid="{8297DABC-4185-4BE6-8C2C-F2FBA3D47451}" name="Category" dataDxfId="1656"/>
    <tableColumn id="8" xr3:uid="{AB9431AD-B985-4013-A9EF-8851983C2CD4}" name="Column1" dataDxfId="1655">
      <calculatedColumnFormula>COUNTIF(ValidTeams[],E156)</calculatedColumnFormula>
    </tableColumn>
  </tableColumns>
  <tableStyleInfo name="TableStyleLight8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815AF18F-0C41-47AC-BB1E-AFE390EC436D}" name="Table20" displayName="Table20" ref="A160:H167" totalsRowShown="0" headerRowDxfId="1654" dataDxfId="1653" tableBorderDxfId="1652">
  <autoFilter ref="A160:H167" xr:uid="{DA1AAF35-E6EB-4EFD-A0FD-8BF58AF120BE}"/>
  <tableColumns count="8">
    <tableColumn id="1" xr3:uid="{A102AC3A-436D-4C31-B876-806C8A1A3B6A}" name="Place" dataDxfId="1651"/>
    <tableColumn id="2" xr3:uid="{F1314D72-CECD-4716-A468-D90DB9772A93}" name="Points" dataDxfId="1650">
      <calculatedColumnFormula>IF(H161=1,MAX(21-A161,0),0)</calculatedColumnFormula>
    </tableColumn>
    <tableColumn id="3" xr3:uid="{0B2E913F-9D06-475E-BB31-43AE0F25F903}" name="Last" dataDxfId="1649"/>
    <tableColumn id="4" xr3:uid="{E12E062F-4CA0-4767-BA80-C470A6DAD901}" name="First" dataDxfId="1648"/>
    <tableColumn id="5" xr3:uid="{4F0DBC88-4422-4966-8140-94584E848D6B}" name="Team" dataDxfId="1647"/>
    <tableColumn id="6" xr3:uid="{E56B3BE2-409E-4035-8BD2-8AA6605D7BA5}" name="Time" dataDxfId="1646"/>
    <tableColumn id="7" xr3:uid="{7B4FF940-74FA-4AEC-A54A-0D4E24BCEAC7}" name="Category" dataDxfId="1645"/>
    <tableColumn id="8" xr3:uid="{52755174-D25A-4625-B5DE-979519D17587}" name="Column1" dataDxfId="1644">
      <calculatedColumnFormula>COUNTIF(ValidTeams[],E161)</calculatedColumnFormula>
    </tableColumn>
  </tableColumns>
  <tableStyleInfo name="TableStyleLight8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ECB875D-8F94-45EA-BA9C-AAF61D16B3B7}" name="Table21" displayName="Table21" ref="A169:H172" totalsRowShown="0" headerRowDxfId="1643" dataDxfId="1642" tableBorderDxfId="1641">
  <autoFilter ref="A169:H172" xr:uid="{9D8B37F4-8CF3-43C5-9AB4-D32258C99D79}"/>
  <tableColumns count="8">
    <tableColumn id="1" xr3:uid="{F9A1EA2F-E5D8-47E6-94D8-15D9B9ED9F4E}" name="Place" dataDxfId="1640"/>
    <tableColumn id="2" xr3:uid="{156F3628-A47D-4E5D-8B3A-2B74437917BF}" name="Points" dataDxfId="1639">
      <calculatedColumnFormula>IF(H170=1,MAX(21-A170,0),0)</calculatedColumnFormula>
    </tableColumn>
    <tableColumn id="3" xr3:uid="{CD2F7C34-DAAB-48F0-8DFA-BE135A4C8DF0}" name="Last" dataDxfId="1638"/>
    <tableColumn id="4" xr3:uid="{00A2D1AC-0831-4A14-B66E-FCC12FB0F368}" name="First" dataDxfId="1637"/>
    <tableColumn id="5" xr3:uid="{B432491A-20C5-4B8D-A719-7845FFB61EE9}" name="Team" dataDxfId="1636"/>
    <tableColumn id="6" xr3:uid="{C93AF850-3A31-45DF-ACB8-EBD2CA619FF5}" name="Time" dataDxfId="1635"/>
    <tableColumn id="7" xr3:uid="{E8B6B18F-6AB5-40D1-AFE2-5A6D968CC424}" name="Category" dataDxfId="1634"/>
    <tableColumn id="8" xr3:uid="{9161AAB7-FCB8-4EEC-8E5E-7C1698C7217E}" name="Column1" dataDxfId="1633">
      <calculatedColumnFormula>COUNTIF(ValidTeams[],E170)</calculatedColumnFormula>
    </tableColumn>
  </tableColumns>
  <tableStyleInfo name="TableStyleLight8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F960DA9-3E76-423B-8F3B-F4ADB56BC91D}" name="Table119" displayName="Table119" ref="A1:H20" totalsRowShown="0">
  <autoFilter ref="A1:H20" xr:uid="{2BE81515-F432-403B-B177-0191F3B6EF4A}"/>
  <tableColumns count="8">
    <tableColumn id="1" xr3:uid="{B4D36BF6-4C67-4718-99C1-A6F42549B80A}" name="Place"/>
    <tableColumn id="7" xr3:uid="{8FB0FAEF-3D1E-4932-8E8D-498CCC3999DB}" name="Points" dataDxfId="1630">
      <calculatedColumnFormula>IF(H2=1,MAX(21-A2,0),0)</calculatedColumnFormula>
    </tableColumn>
    <tableColumn id="2" xr3:uid="{6CFA0D94-8F5A-4592-A2D2-BCBDE0573329}" name="Last"/>
    <tableColumn id="3" xr3:uid="{13CA42BB-12D5-4313-9824-B75F7D0D84AE}" name="First"/>
    <tableColumn id="4" xr3:uid="{B8A2AF5C-8C80-47E3-A003-BEEF786E11CE}" name="Team"/>
    <tableColumn id="5" xr3:uid="{454F7C70-2490-49DF-9D12-7554617796AF}" name="Time" dataDxfId="1629"/>
    <tableColumn id="6" xr3:uid="{D8B4DB7C-51D1-4A20-82A3-A2BC8F1A5494}" name="Category"/>
    <tableColumn id="8" xr3:uid="{1FE3D07C-2B37-4F8E-95AB-2B4D6DCCF2C8}" name="Valid" dataDxfId="1628">
      <calculatedColumnFormula>COUNTIF(ValidTeams[],E2)</calculatedColumnFormula>
    </tableColumn>
  </tableColumns>
  <tableStyleInfo name="TableStyleLight8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CEC6700-46D2-4AB7-9AEC-2A8E7569E8A8}" name="Table220" displayName="Table220" ref="A21:H31" totalsRowShown="0">
  <autoFilter ref="A21:H31" xr:uid="{C25A9C4A-FB27-47B1-9547-9602F89B7537}"/>
  <tableColumns count="8">
    <tableColumn id="1" xr3:uid="{9107494D-799E-43AB-99A1-C08208C6138A}" name="Place"/>
    <tableColumn id="7" xr3:uid="{3F592385-725C-4FC3-8B36-2DD1EE91F0C1}" name="Points" dataDxfId="1627">
      <calculatedColumnFormula>IF(H22=1,MAX(21-A22,0),0)</calculatedColumnFormula>
    </tableColumn>
    <tableColumn id="2" xr3:uid="{6E5BB6B9-2B80-411B-87CE-E6BDD6344E01}" name="Last"/>
    <tableColumn id="3" xr3:uid="{505444F7-4E02-4412-BEDC-9707D7121248}" name="First"/>
    <tableColumn id="4" xr3:uid="{E711CAB2-8408-4544-8C3C-554F2732E4E3}" name="Team"/>
    <tableColumn id="5" xr3:uid="{94319652-7D2E-412F-81C0-D24112A4A0CD}" name="Time" dataDxfId="1626"/>
    <tableColumn id="6" xr3:uid="{D3730D87-3262-4FA0-BA27-C67CD30D9E9A}" name="Category"/>
    <tableColumn id="8" xr3:uid="{E9599886-5FA3-481C-A574-49303BA7C03C}" name="Column1" dataDxfId="1625">
      <calculatedColumnFormula>COUNTIF(ValidTeams[],E22)</calculatedColumnFormula>
    </tableColumn>
  </tableColumns>
  <tableStyleInfo name="TableStyleLight8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781EB7D7-34DC-44B4-97AE-4AC91369B202}" name="Table344" displayName="Table344" ref="A33:G39" totalsRowShown="0">
  <autoFilter ref="A33:G39" xr:uid="{B49FE676-3971-4254-B3CE-8A0E8A4B0CB6}"/>
  <tableColumns count="7">
    <tableColumn id="1" xr3:uid="{1390CB5B-C5E9-443D-B709-60F262331D37}" name="Place"/>
    <tableColumn id="2" xr3:uid="{3C950C2F-E0B2-4851-86A8-CFDAE576B5E6}" name="Points"/>
    <tableColumn id="3" xr3:uid="{2B8CAC60-010D-41AE-B68F-749369120600}" name="Last"/>
    <tableColumn id="4" xr3:uid="{1291EB57-F73E-440D-9B1D-9E1A4496D5FB}" name="First"/>
    <tableColumn id="5" xr3:uid="{90B600D0-12DC-4D3D-A2A1-6AB5792DF524}" name="Team" dataDxfId="1624"/>
    <tableColumn id="6" xr3:uid="{D08EF3C3-DBC2-4101-AEB0-52CF6D4AEA50}" name="Time" dataDxfId="1623"/>
    <tableColumn id="7" xr3:uid="{ED5AF084-FC03-450B-A283-05BD80A32352}" name="Category"/>
  </tableColumns>
  <tableStyleInfo name="TableStyleLight8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9458FFBE-1828-4D66-B691-94F2B4A68C09}" name="Table445" displayName="Table445" ref="A41:G44" totalsRowShown="0" headerRowDxfId="1622" dataDxfId="1621" tableBorderDxfId="1620">
  <autoFilter ref="A41:G44" xr:uid="{7EF120C7-4833-43B1-A932-0A569965E78A}"/>
  <tableColumns count="7">
    <tableColumn id="1" xr3:uid="{04308BE8-3FD4-4D24-A29B-11AE8F9981BB}" name="Place" dataDxfId="1619"/>
    <tableColumn id="2" xr3:uid="{B4E6D6D9-071F-4554-BBA9-3F6B7E317BC6}" name="Points" dataDxfId="1618"/>
    <tableColumn id="3" xr3:uid="{3172BE24-E3CC-418E-B31D-5046381BDEF7}" name="Last" dataDxfId="1617"/>
    <tableColumn id="4" xr3:uid="{447A4B48-5470-4A00-94B2-2BD753D8F1A0}" name="First" dataDxfId="1616"/>
    <tableColumn id="5" xr3:uid="{37F5B46C-6451-493F-A87C-0B484E6D34D3}" name="Team" dataDxfId="1615"/>
    <tableColumn id="6" xr3:uid="{E53DB497-33B3-463B-A427-E1A799E02446}" name="Time" dataDxfId="1614"/>
    <tableColumn id="7" xr3:uid="{0DC2D8C0-2159-47B8-9B5D-6056F166B246}" name="Category" dataDxfId="1613"/>
  </tableColumns>
  <tableStyleInfo name="TableStyleLight8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69B5DDC4-FCB9-4ECA-ADEA-369F010BF915}" name="Table546" displayName="Table546" ref="A46:G48" totalsRowShown="0" headerRowDxfId="1612" dataDxfId="1611" tableBorderDxfId="1610">
  <autoFilter ref="A46:G48" xr:uid="{45671861-392C-46D5-8949-81D3A5BB3FB1}"/>
  <tableColumns count="7">
    <tableColumn id="1" xr3:uid="{9999582E-10DE-4F5D-8424-0F9AEFA07561}" name="Place" dataDxfId="1609"/>
    <tableColumn id="2" xr3:uid="{0D53ABCF-1C19-4F37-A177-2729AD8F8EB2}" name="Points" dataDxfId="1608"/>
    <tableColumn id="3" xr3:uid="{B44C70CD-AF32-4C07-8886-B016271F3B25}" name="Last" dataDxfId="1607"/>
    <tableColumn id="4" xr3:uid="{0BF000E1-3F7A-427E-9FF5-84E7341B6A91}" name="First" dataDxfId="1606"/>
    <tableColumn id="5" xr3:uid="{E9EEBE6C-AA19-4505-AEE3-1EAB97520FE3}" name="Team" dataDxfId="1605"/>
    <tableColumn id="6" xr3:uid="{8F9F8D48-3598-4DCC-9C3B-5913FF7EB739}" name="Time" dataDxfId="1604"/>
    <tableColumn id="7" xr3:uid="{1CB70F04-B0CC-43B3-91D1-5419329591FB}" name="Category" dataDxfId="1603"/>
  </tableColumns>
  <tableStyleInfo name="TableStyleLight8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23926C3D-CE77-4715-B912-CB332BD94F35}" name="Table647" displayName="Table647" ref="A50:G53" totalsRowShown="0" headerRowDxfId="1602" dataDxfId="1601" tableBorderDxfId="1600">
  <autoFilter ref="A50:G53" xr:uid="{DD4C0487-3C1D-48CE-889D-00B3DCBBD5DC}"/>
  <tableColumns count="7">
    <tableColumn id="1" xr3:uid="{2018ED2A-5257-468C-B647-311FC98A9E54}" name="Place" dataDxfId="1599"/>
    <tableColumn id="2" xr3:uid="{31ABFBB9-29A9-458A-B7CE-22672B76FAA9}" name="Points" dataDxfId="1598"/>
    <tableColumn id="3" xr3:uid="{B5BAF1D0-46D8-4CB4-93A5-6F10FBB50FD8}" name="Last" dataDxfId="1597"/>
    <tableColumn id="4" xr3:uid="{7BC4B975-2CA8-403A-8969-01FDE1D4E0DA}" name="First" dataDxfId="1596"/>
    <tableColumn id="5" xr3:uid="{66A2233A-768B-495E-B60F-69CD53526083}" name="Team" dataDxfId="1595"/>
    <tableColumn id="6" xr3:uid="{D284D3BF-DD17-4524-84C9-B423E72BE106}" name="Time" dataDxfId="1594"/>
    <tableColumn id="7" xr3:uid="{3904EF24-AFAA-4100-8D1E-D64F48ECEEA9}" name="Category" dataDxfId="1593"/>
  </tableColumns>
  <tableStyleInfo name="TableStyleLight8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CE5F26A7-E5AD-4A2C-91C5-D8BFEC8B6206}" name="Table748" displayName="Table748" ref="A55:G57" totalsRowShown="0" headerRowDxfId="1592" dataDxfId="1591" tableBorderDxfId="1590">
  <autoFilter ref="A55:G57" xr:uid="{AFB287A9-7DDA-476C-B93D-7F22CBF72CDB}"/>
  <tableColumns count="7">
    <tableColumn id="1" xr3:uid="{CA25BCE7-CA8F-4E00-9BD4-AF710E41C727}" name="Place" dataDxfId="1589"/>
    <tableColumn id="2" xr3:uid="{45DD2CC5-D13B-4A01-B501-1C316EBD5577}" name="Points" dataDxfId="1588"/>
    <tableColumn id="3" xr3:uid="{37561D70-6299-4DDC-AC83-79A79328EE7F}" name="Last" dataDxfId="1587"/>
    <tableColumn id="4" xr3:uid="{1F55BD9B-8504-4E96-B937-4C596B06A89E}" name="First" dataDxfId="1586"/>
    <tableColumn id="5" xr3:uid="{D21E12A6-6965-4AF5-B155-2287F2B60204}" name="Team" dataDxfId="1585"/>
    <tableColumn id="6" xr3:uid="{69742257-A338-47F0-8D04-41AE972D7C03}" name="Time" dataDxfId="1584"/>
    <tableColumn id="7" xr3:uid="{17579FF8-CE03-4B0B-A712-D03677C0437E}" name="Category" dataDxfId="1583"/>
  </tableColumns>
  <tableStyleInfo name="TableStyleLight8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A3E87BF-30E5-423C-8B2E-A65B57F85024}" name="Table849" displayName="Table849" ref="A59:G60" totalsRowShown="0" headerRowDxfId="1582" dataDxfId="1581" tableBorderDxfId="1580">
  <autoFilter ref="A59:G60" xr:uid="{327265BE-D992-426A-B3AB-F69BDF1C9F11}"/>
  <tableColumns count="7">
    <tableColumn id="1" xr3:uid="{1604A96D-A4EC-45C5-808E-F374F5B8F927}" name="Place" dataDxfId="1579"/>
    <tableColumn id="2" xr3:uid="{217C4FF8-9E5A-434D-B9D2-74D94C6A33A5}" name="Points" dataDxfId="1578"/>
    <tableColumn id="3" xr3:uid="{B059EE0B-AC6F-4593-9AA9-05314221C2D7}" name="Last" dataDxfId="1577"/>
    <tableColumn id="4" xr3:uid="{5DDA20BE-D533-4212-BAAE-9299802057BC}" name="First" dataDxfId="1576"/>
    <tableColumn id="5" xr3:uid="{2790C4FF-0B88-4EF4-9DFD-392CCD61DF5F}" name="Team" dataDxfId="1575"/>
    <tableColumn id="6" xr3:uid="{731518B6-B4CE-47B7-9295-AAE447F24D70}" name="Time" dataDxfId="1574"/>
    <tableColumn id="7" xr3:uid="{7C631544-72FB-4404-85B3-F7CFC8E1FD06}" name="Category" dataDxfId="1573"/>
  </tableColumns>
  <tableStyleInfo name="TableStyleLight8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50AB341B-E0AD-4E3B-B97E-67F30F967F07}" name="Table950" displayName="Table950" ref="A62:H67" totalsRowShown="0" headerRowDxfId="1572" dataDxfId="1571" tableBorderDxfId="1570">
  <autoFilter ref="A62:H67" xr:uid="{DEE8DB81-02A0-4B3D-955D-BF6B08106958}"/>
  <tableColumns count="8">
    <tableColumn id="1" xr3:uid="{3FA3A44B-B8C7-446A-A448-F79F9272C4F8}" name="Place" dataDxfId="1569"/>
    <tableColumn id="2" xr3:uid="{EA03D264-758E-4C5C-9F89-ABC99E37FF2A}" name="Points" dataDxfId="1568">
      <calculatedColumnFormula>IF(H63=1,MAX(21-A63,0),0)</calculatedColumnFormula>
    </tableColumn>
    <tableColumn id="3" xr3:uid="{D7044037-DE81-4388-A5E2-AEDC1EE9E69A}" name="Last" dataDxfId="1567"/>
    <tableColumn id="4" xr3:uid="{DE7EE7BF-7CF1-42EE-B231-8CA78E11757B}" name="First" dataDxfId="1566"/>
    <tableColumn id="5" xr3:uid="{65D0215F-EF2A-47D3-BDAB-08856913E0A0}" name="Team" dataDxfId="1565"/>
    <tableColumn id="6" xr3:uid="{38FFDF89-DD29-409B-BBAD-5770C3B93513}" name="Time" dataDxfId="1564"/>
    <tableColumn id="7" xr3:uid="{01A0CB8F-2337-4C5F-A82A-8BDA1B12590F}" name="Category" dataDxfId="1563"/>
    <tableColumn id="8" xr3:uid="{E64DF3F1-045D-4FCC-B7EB-F38508787968}" name="Column1" dataDxfId="1562">
      <calculatedColumnFormula>COUNTIF(ValidTeams[],E63)</calculatedColumnFormula>
    </tableColumn>
  </tableColumns>
  <tableStyleInfo name="TableStyleLight8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82D7593F-4923-41F7-B9FA-872985D93EEB}" name="Table1051" displayName="Table1051" ref="A69:H75" totalsRowShown="0" headerRowDxfId="1561" dataDxfId="1560" tableBorderDxfId="1559">
  <autoFilter ref="A69:H75" xr:uid="{D94FE680-30EE-468C-B0C7-D95D6D58BE3A}"/>
  <tableColumns count="8">
    <tableColumn id="1" xr3:uid="{22AA90EC-4C5E-4EB0-B3F6-20FBBFD66632}" name="Place" dataDxfId="1558"/>
    <tableColumn id="2" xr3:uid="{C2EEBC44-AFF6-4047-A382-0A5EBB0B7920}" name="Points" dataDxfId="1557">
      <calculatedColumnFormula>IF(H70=1,MAX(21-A70,0),0)</calculatedColumnFormula>
    </tableColumn>
    <tableColumn id="3" xr3:uid="{F5A97D49-C741-43BF-A48E-EA138D9FC4CF}" name="Last" dataDxfId="1556"/>
    <tableColumn id="4" xr3:uid="{8192CDEE-C0AD-4087-8091-4DD0E971AB7E}" name="First" dataDxfId="1555"/>
    <tableColumn id="5" xr3:uid="{177D8A99-ACE8-4CF0-81B2-1B78806E8E3E}" name="Team" dataDxfId="1554"/>
    <tableColumn id="6" xr3:uid="{8FE9D767-FA4D-4312-927D-E46D2A765FDB}" name="Time" dataDxfId="1553"/>
    <tableColumn id="7" xr3:uid="{CC2765F7-B67B-4AB0-993F-28FC448703CB}" name="Category" dataDxfId="1552"/>
    <tableColumn id="8" xr3:uid="{D465B0D7-D02C-4DF4-B371-BCC09437B4C0}" name="Column1" dataDxfId="1551">
      <calculatedColumnFormula>COUNTIF(ValidTeams[],E70)</calculatedColumnFormula>
    </tableColumn>
  </tableColumns>
  <tableStyleInfo name="TableStyleLight8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AA84BB12-3B48-4EF2-B387-E00375CAED31}" name="Table1152" displayName="Table1152" ref="A77:H90" totalsRowShown="0" headerRowDxfId="1550" dataDxfId="1549" tableBorderDxfId="1548">
  <autoFilter ref="A77:H90" xr:uid="{8DB3CF6A-DE15-42E5-9DE4-8E377BFEF7FB}"/>
  <tableColumns count="8">
    <tableColumn id="1" xr3:uid="{9132A2DA-F346-4280-8B03-525672959DAE}" name="Place" dataDxfId="1547"/>
    <tableColumn id="2" xr3:uid="{D99672BE-9DDC-4C84-9360-246D2288A90B}" name="Points" dataDxfId="1546">
      <calculatedColumnFormula>IF(H78=1,MAX(21-A78,0),0)</calculatedColumnFormula>
    </tableColumn>
    <tableColumn id="3" xr3:uid="{8934B20A-C46F-4322-A85F-06D24D8CE94A}" name="Last" dataDxfId="1545"/>
    <tableColumn id="4" xr3:uid="{833B72C9-31FA-40ED-A404-FD821EFD90A8}" name="First" dataDxfId="1544"/>
    <tableColumn id="5" xr3:uid="{AAF408B9-6784-451C-94AB-B9397B3FF3AE}" name="Team" dataDxfId="1543"/>
    <tableColumn id="6" xr3:uid="{1A3B4F88-F990-4E86-94A1-4F96DE253338}" name="Time" dataDxfId="1542"/>
    <tableColumn id="7" xr3:uid="{557AC0EC-4616-46F6-945B-259B9D710D90}" name="Category" dataDxfId="1541"/>
    <tableColumn id="8" xr3:uid="{96569C32-E470-4B5D-AEEB-8B1E9E58D345}" name="Column1" dataDxfId="1540">
      <calculatedColumnFormula>COUNTIF(ValidTeams[],E78)</calculatedColumnFormula>
    </tableColumn>
  </tableColumns>
  <tableStyleInfo name="TableStyleLight8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70A26811-5BB9-4353-A6E5-92835C2A43C5}" name="Table1253" displayName="Table1253" ref="A92:H101" totalsRowShown="0" headerRowDxfId="1539" dataDxfId="1538" tableBorderDxfId="1537">
  <autoFilter ref="A92:H101" xr:uid="{11C18E5B-2665-42D7-868D-9FA168F847E1}"/>
  <tableColumns count="8">
    <tableColumn id="1" xr3:uid="{45D54940-4D28-443E-8B11-E5202C03738E}" name="Place" dataDxfId="1536"/>
    <tableColumn id="2" xr3:uid="{D7846966-9A55-4564-BF5A-A48A0B67E4C3}" name="Points" dataDxfId="1535">
      <calculatedColumnFormula>IF(H93=1,MAX(21-A93,0),0)</calculatedColumnFormula>
    </tableColumn>
    <tableColumn id="3" xr3:uid="{5BADB270-758A-4763-95B2-0B139E7AC44B}" name="Last" dataDxfId="1534"/>
    <tableColumn id="4" xr3:uid="{7FFECFB7-731F-494D-BF8F-847ADBFE53F1}" name="First" dataDxfId="1533"/>
    <tableColumn id="5" xr3:uid="{A9D82DEC-87B9-4AFA-8F56-0D5C4D03AD9D}" name="Team" dataDxfId="1532"/>
    <tableColumn id="6" xr3:uid="{73F966C3-4CFF-436C-88F9-E74D1C5C034D}" name="Time" dataDxfId="1531"/>
    <tableColumn id="7" xr3:uid="{D5EBF495-042C-4AF4-A3E0-F953DCAD803A}" name="Category" dataDxfId="1530"/>
    <tableColumn id="8" xr3:uid="{2CAD2BCF-7674-44F0-B19C-9FE7F7F23798}" name="Column1" dataDxfId="1529">
      <calculatedColumnFormula>COUNTIF(ValidTeams[],E93)</calculatedColumnFormula>
    </tableColumn>
  </tableColumns>
  <tableStyleInfo name="TableStyleLight8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CE083572-AAFC-42F1-A16D-FF5387EC2680}" name="Table1354" displayName="Table1354" ref="A103:H109" totalsRowShown="0" headerRowDxfId="1528" dataDxfId="1527" tableBorderDxfId="1526">
  <autoFilter ref="A103:H109" xr:uid="{5C62EA4D-B4AF-459A-9C78-1DDC91C11162}"/>
  <tableColumns count="8">
    <tableColumn id="1" xr3:uid="{AF2FE7BE-2A8E-4550-9444-68B4A5661069}" name="Place" dataDxfId="1525"/>
    <tableColumn id="2" xr3:uid="{3781A4C4-1C5D-4017-A839-CF38E3819435}" name="Points" dataDxfId="1524">
      <calculatedColumnFormula>IF(H104=1,MAX(21-A104,0),0)</calculatedColumnFormula>
    </tableColumn>
    <tableColumn id="3" xr3:uid="{AEB5BD45-4498-46E4-AEB8-EED985AEB2BB}" name="Last" dataDxfId="1523"/>
    <tableColumn id="4" xr3:uid="{F9DA182B-26D6-474A-931A-B70EB9034627}" name="First" dataDxfId="1522"/>
    <tableColumn id="5" xr3:uid="{93CE6F54-007D-4793-93B1-354A070F566A}" name="Team" dataDxfId="1521"/>
    <tableColumn id="6" xr3:uid="{3691019A-A62E-477E-8274-AADC7B715E4E}" name="Time" dataDxfId="1520"/>
    <tableColumn id="7" xr3:uid="{4F77BC04-DF7B-4374-A1D8-6023302A6F80}" name="Category" dataDxfId="1519"/>
    <tableColumn id="8" xr3:uid="{950F9603-1019-4563-9B30-3BF0E1806EDC}" name="Column1" dataDxfId="1518">
      <calculatedColumnFormula>COUNTIF(ValidTeams[],E104)</calculatedColumnFormula>
    </tableColumn>
  </tableColumns>
  <tableStyleInfo name="TableStyleLight8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A3F638C1-FE5C-4DF5-AF31-65E230664CA4}" name="Table1455" displayName="Table1455" ref="A111:H133" totalsRowShown="0" headerRowDxfId="1517" dataDxfId="1516" tableBorderDxfId="1515">
  <autoFilter ref="A111:H133" xr:uid="{26DCB4CA-2DE7-4A48-9E63-A3B293850C38}"/>
  <tableColumns count="8">
    <tableColumn id="1" xr3:uid="{C22C6028-3ED3-4D9C-B1D1-5098D737C1D2}" name="Place" dataDxfId="1514"/>
    <tableColumn id="2" xr3:uid="{57552AE3-2F54-4453-B992-E2A1841D4C8D}" name="Points" dataDxfId="1513">
      <calculatedColumnFormula>IF(H112=1,MAX(21-A112,0),0)</calculatedColumnFormula>
    </tableColumn>
    <tableColumn id="3" xr3:uid="{E20E23A7-A118-43F5-9FFB-F9F2B06578CE}" name="Last" dataDxfId="1512"/>
    <tableColumn id="4" xr3:uid="{E761FC24-3DD9-4192-9E6C-7DD198C49174}" name="First" dataDxfId="1511"/>
    <tableColumn id="5" xr3:uid="{2ECAC548-2999-4620-994D-C740B75B3A1B}" name="Team" dataDxfId="1510"/>
    <tableColumn id="6" xr3:uid="{075AA474-7D3F-42D4-8645-701CA361EB66}" name="Time" dataDxfId="1509"/>
    <tableColumn id="7" xr3:uid="{EB2A52F4-859B-4119-B8C3-38B7A588B564}" name="Category" dataDxfId="1508"/>
    <tableColumn id="8" xr3:uid="{70B79216-8A50-4461-89CD-9FDCD34AD851}" name="Column1" dataDxfId="1507">
      <calculatedColumnFormula>COUNTIF(ValidTeams[],E112)</calculatedColumnFormula>
    </tableColumn>
  </tableColumns>
  <tableStyleInfo name="TableStyleLight8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791E4FCA-BFA6-4CE7-8FC3-0D78BE01D8FB}" name="Table1556" displayName="Table1556" ref="A135:H145" totalsRowShown="0" headerRowDxfId="1506" dataDxfId="1505" tableBorderDxfId="1504">
  <autoFilter ref="A135:H145" xr:uid="{C613AFCE-296E-4B0B-BEBE-924A468844E2}"/>
  <tableColumns count="8">
    <tableColumn id="1" xr3:uid="{0B5EB0C9-55E2-48D2-836E-0D25DAD15BEF}" name="Place" dataDxfId="1503"/>
    <tableColumn id="2" xr3:uid="{3193293E-A5A6-4AC3-8FFD-E1047B89276C}" name="Points" dataDxfId="1502">
      <calculatedColumnFormula>IF(H136=1,MAX(21-A136,0),0)</calculatedColumnFormula>
    </tableColumn>
    <tableColumn id="3" xr3:uid="{8439CF2D-838C-4A24-A213-62EBA789C53F}" name="Last" dataDxfId="1501"/>
    <tableColumn id="4" xr3:uid="{C62DD838-F1EC-4233-AEA5-D35BCA9EDE15}" name="First" dataDxfId="1500"/>
    <tableColumn id="5" xr3:uid="{67030670-D682-41B3-B9AD-2471CAAC7E18}" name="Team" dataDxfId="1499"/>
    <tableColumn id="6" xr3:uid="{58602636-7F34-4EE7-BF88-7783F3A4852B}" name="Time" dataDxfId="1498"/>
    <tableColumn id="7" xr3:uid="{031BFB0B-2FC4-480E-A2B2-50C2469A1DC2}" name="Category" dataDxfId="1497"/>
    <tableColumn id="8" xr3:uid="{1684B24A-A90F-477E-8D6E-EF4AF737603E}" name="Column1" dataDxfId="1496">
      <calculatedColumnFormula>COUNTIF(ValidTeams[],E136)</calculatedColumnFormula>
    </tableColumn>
  </tableColumns>
  <tableStyleInfo name="TableStyleLight8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50A342DC-1251-4E24-BCC0-D2A3A4F71BCE}" name="Table1657" displayName="Table1657" ref="A147:H161" totalsRowShown="0" headerRowDxfId="1495" dataDxfId="1494" tableBorderDxfId="1493">
  <autoFilter ref="A147:H161" xr:uid="{633EC92F-01AA-4268-8AC0-ADD3DB9BC5E8}"/>
  <tableColumns count="8">
    <tableColumn id="1" xr3:uid="{465C8EAE-C2BE-4D09-B9B9-D8BFEE1D9C42}" name="Place" dataDxfId="1492"/>
    <tableColumn id="2" xr3:uid="{BBC6BC99-FA51-41FA-A6FB-FC65E45360A8}" name="Points" dataDxfId="1491">
      <calculatedColumnFormula>IF(H148=1,MAX(21-A148,0),0)</calculatedColumnFormula>
    </tableColumn>
    <tableColumn id="3" xr3:uid="{CE234D4D-7D81-4FC6-A831-DD0177AF0140}" name="Last" dataDxfId="1490"/>
    <tableColumn id="4" xr3:uid="{DC4B7D3B-9348-40BB-8987-BA813559A529}" name="First" dataDxfId="1489"/>
    <tableColumn id="5" xr3:uid="{1969B5F5-4DEE-4F20-B9EE-439C0996A7C6}" name="Team" dataDxfId="1488"/>
    <tableColumn id="6" xr3:uid="{09B600FC-9F37-4C36-BBCA-C58D272DD6ED}" name="Time" dataDxfId="1487"/>
    <tableColumn id="7" xr3:uid="{974C2AF3-5A16-451D-B78C-AFF28B41D06F}" name="Category" dataDxfId="1486"/>
    <tableColumn id="8" xr3:uid="{9385A37F-6884-43D2-AF7B-E248B6F87D15}" name="Column1" dataDxfId="1485">
      <calculatedColumnFormula>COUNTIF(ValidTeams[],E148)</calculatedColumnFormula>
    </tableColumn>
  </tableColumns>
  <tableStyleInfo name="TableStyleLight8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AA735C4-AC78-46E1-B8A5-5CA82E59F9B2}" name="Table1758" displayName="Table1758" ref="A163:H168" totalsRowShown="0" headerRowDxfId="1484" dataDxfId="1483" tableBorderDxfId="1482">
  <autoFilter ref="A163:H168" xr:uid="{5B01C281-9700-4C4F-829B-AC07CD26C4E6}"/>
  <tableColumns count="8">
    <tableColumn id="1" xr3:uid="{D5A67A78-DA8C-4B42-95F9-D3C91CE256A7}" name="Place" dataDxfId="1481"/>
    <tableColumn id="2" xr3:uid="{D2B7697C-7057-4BF4-8CA4-D59CA2A53371}" name="Points" dataDxfId="1480">
      <calculatedColumnFormula>IF(H164=1,MAX(21-A164,0),0)</calculatedColumnFormula>
    </tableColumn>
    <tableColumn id="3" xr3:uid="{4F0384C4-7F49-4248-8E2D-9B300927D001}" name="Last" dataDxfId="1479"/>
    <tableColumn id="4" xr3:uid="{45C7B1AB-F82A-4429-98BB-4DE0686AC76A}" name="First" dataDxfId="1478"/>
    <tableColumn id="5" xr3:uid="{BD10146E-CD55-410F-BB1A-E45FD5FA4C62}" name="Team" dataDxfId="1477"/>
    <tableColumn id="6" xr3:uid="{F5047D68-2FA8-488B-A8C2-BFB8075B489E}" name="Time" dataDxfId="1476"/>
    <tableColumn id="7" xr3:uid="{81749615-F53C-44E8-A775-05D61C907E77}" name="Category" dataDxfId="1475"/>
    <tableColumn id="8" xr3:uid="{D1411D7B-0449-4A00-B000-63CE1E5E56C0}" name="Column1" dataDxfId="1474">
      <calculatedColumnFormula>COUNTIF(ValidTeams[],E164)</calculatedColumnFormula>
    </tableColumn>
  </tableColumns>
  <tableStyleInfo name="TableStyleLight8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42FDC6FD-0F20-478C-BDBC-D40A061965E0}" name="Table2059" displayName="Table2059" ref="A169:H176" totalsRowShown="0" headerRowDxfId="1473" dataDxfId="1472" tableBorderDxfId="1471">
  <autoFilter ref="A169:H176" xr:uid="{DA1AAF35-E6EB-4EFD-A0FD-8BF58AF120BE}"/>
  <tableColumns count="8">
    <tableColumn id="1" xr3:uid="{9DBBEE17-E765-420D-9631-6F0016DB41DF}" name="Place" dataDxfId="1470"/>
    <tableColumn id="2" xr3:uid="{40D8819F-DB39-45D7-877A-89585AADC89F}" name="Points" dataDxfId="1469">
      <calculatedColumnFormula>IF(H170=1,MAX(21-A170,0),0)</calculatedColumnFormula>
    </tableColumn>
    <tableColumn id="3" xr3:uid="{8F34A1C9-7C50-40F0-90BF-2DE837A86AB4}" name="Last" dataDxfId="1468"/>
    <tableColumn id="4" xr3:uid="{BBDE0D4F-6CD0-4176-BAEF-45998F4106DF}" name="First" dataDxfId="1467"/>
    <tableColumn id="5" xr3:uid="{368B9028-2E0C-4B10-A500-131956A02AB7}" name="Team" dataDxfId="1466"/>
    <tableColumn id="6" xr3:uid="{940881DC-19F5-4A17-A2FB-54BB7F91068A}" name="Time" dataDxfId="1465"/>
    <tableColumn id="7" xr3:uid="{0E52CA68-B3BB-4CC9-8E9E-2181DF239D8A}" name="Category" dataDxfId="1464"/>
    <tableColumn id="8" xr3:uid="{C7AAD9AE-804B-4F21-95FE-2573AEEA25FC}" name="Column1" dataDxfId="1463">
      <calculatedColumnFormula>COUNTIF(ValidTeams[],E170)</calculatedColumnFormula>
    </tableColumn>
  </tableColumns>
  <tableStyleInfo name="TableStyleLight8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47806D1F-5D1F-4C1B-B208-294DACB4643C}" name="Table2160" displayName="Table2160" ref="A178:H183" totalsRowShown="0" headerRowDxfId="1462" dataDxfId="1461" tableBorderDxfId="1460">
  <autoFilter ref="A178:H183" xr:uid="{9D8B37F4-8CF3-43C5-9AB4-D32258C99D79}"/>
  <tableColumns count="8">
    <tableColumn id="1" xr3:uid="{651B7D87-9567-4BBA-A7E0-56340B93D964}" name="Place" dataDxfId="1459"/>
    <tableColumn id="2" xr3:uid="{0BFF25D1-424E-4F2E-8286-538E7D21B4C2}" name="Points" dataDxfId="1458">
      <calculatedColumnFormula>IF(H179=1,MAX(21-A179,0),0)</calculatedColumnFormula>
    </tableColumn>
    <tableColumn id="3" xr3:uid="{B093FEBD-6E34-4486-811B-5A0365051928}" name="Last" dataDxfId="1457"/>
    <tableColumn id="4" xr3:uid="{54D0A813-5D3B-4E8F-B843-D229864F2DDF}" name="First" dataDxfId="1456"/>
    <tableColumn id="5" xr3:uid="{44014613-F65F-4B90-8F82-794BC5BA37F3}" name="Team" dataDxfId="1455"/>
    <tableColumn id="6" xr3:uid="{6D32107F-7341-4632-9F4F-B77DDB8391A4}" name="Time" dataDxfId="1454"/>
    <tableColumn id="7" xr3:uid="{DB1858E3-B03F-483A-BB6E-9129CB5AB12A}" name="Category" dataDxfId="1453"/>
    <tableColumn id="8" xr3:uid="{A090D18B-9924-4793-9567-FA177AD30CF1}" name="Column1" dataDxfId="1452">
      <calculatedColumnFormula>COUNTIF(ValidTeams[],E179)</calculatedColumnFormula>
    </tableColumn>
  </tableColumns>
  <tableStyleInfo name="TableStyleLight8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77167287-6E95-4597-A1A2-2809D2507D52}" name="Table11961" displayName="Table11961" ref="A1:H23" totalsRowShown="0">
  <autoFilter ref="A1:H23" xr:uid="{2BE81515-F432-403B-B177-0191F3B6EF4A}"/>
  <tableColumns count="8">
    <tableColumn id="1" xr3:uid="{87F13C0E-7749-46EB-AC7A-C31295866578}" name="Place"/>
    <tableColumn id="7" xr3:uid="{0503ABA8-457D-487A-9B89-4FCAB596773E}" name="Points" dataDxfId="1448">
      <calculatedColumnFormula>IF(H2=1,MAX(21-A2,0),0)</calculatedColumnFormula>
    </tableColumn>
    <tableColumn id="2" xr3:uid="{61E9FAA8-F328-4A81-B5B0-394AD485F04F}" name="Last"/>
    <tableColumn id="3" xr3:uid="{DDE96CD4-D080-4097-8FDB-E477412B5EEF}" name="First"/>
    <tableColumn id="4" xr3:uid="{93A57DBF-095F-4FE2-A34D-DB1CFDE59A5F}" name="Team"/>
    <tableColumn id="5" xr3:uid="{8F19BA47-ACE6-401D-ACE5-EF5FA422B8F4}" name="Time" dataDxfId="1447"/>
    <tableColumn id="6" xr3:uid="{B767431B-5226-49A9-AFB4-90EE70440D27}" name="Category"/>
    <tableColumn id="8" xr3:uid="{6961753E-93D1-4750-86E4-6E0670A8A251}" name="Valid" dataDxfId="1446">
      <calculatedColumnFormula>COUNTIF(ValidTeams[],E2)</calculatedColumnFormula>
    </tableColumn>
  </tableColumns>
  <tableStyleInfo name="TableStyleLight8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23E2F9FC-2B44-4823-8971-221FD5C1D6F4}" name="Table22062" displayName="Table22062" ref="A25:H37" totalsRowShown="0">
  <autoFilter ref="A25:H37" xr:uid="{C25A9C4A-FB27-47B1-9547-9602F89B7537}"/>
  <tableColumns count="8">
    <tableColumn id="1" xr3:uid="{E033E905-8D7D-40B6-B431-BF3F8F63F3BD}" name="Place"/>
    <tableColumn id="7" xr3:uid="{961CD7E2-1529-4FF4-A67F-19A1C32D625C}" name="Points" dataDxfId="1445">
      <calculatedColumnFormula>IF(H26=1,MAX(21-A26,0),0)</calculatedColumnFormula>
    </tableColumn>
    <tableColumn id="2" xr3:uid="{8EBA66E6-15E2-4F71-93FF-3954029EA91B}" name="Last"/>
    <tableColumn id="3" xr3:uid="{0942906E-7110-4E0A-9B88-A82AD7B76CA7}" name="First"/>
    <tableColumn id="4" xr3:uid="{6730A044-A2A0-494F-A3F2-6B5CD698EF6F}" name="Team"/>
    <tableColumn id="5" xr3:uid="{94BA0527-9A90-4D87-8C88-76E86A56A948}" name="Time" dataDxfId="1444"/>
    <tableColumn id="6" xr3:uid="{3ADE7DC3-8D36-4577-B141-F8C3009FBC87}" name="Category"/>
    <tableColumn id="8" xr3:uid="{02B4E882-85C7-4713-8E7B-79CCECBA86D2}" name="Column1" dataDxfId="1443">
      <calculatedColumnFormula>COUNTIF(ValidTeams[],E26)</calculatedColumnFormula>
    </tableColumn>
  </tableColumns>
  <tableStyleInfo name="TableStyleLight8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BE4D5379-E39F-4EDD-9182-ED5C138F3B1D}" name="Table34463" displayName="Table34463" ref="A39:G45" totalsRowShown="0">
  <autoFilter ref="A39:G45" xr:uid="{B49FE676-3971-4254-B3CE-8A0E8A4B0CB6}"/>
  <tableColumns count="7">
    <tableColumn id="1" xr3:uid="{511AF5BF-5194-45C3-A06A-50547199759D}" name="Place"/>
    <tableColumn id="2" xr3:uid="{6024905A-D020-4DEB-8597-065001755530}" name="Points"/>
    <tableColumn id="3" xr3:uid="{2001AD79-2CA6-49CD-8AAD-C864ECDBA4C2}" name="Last"/>
    <tableColumn id="4" xr3:uid="{73757A62-8DCF-42BC-BB17-5561A1DA4E64}" name="First"/>
    <tableColumn id="5" xr3:uid="{CBB65BFE-4905-453C-9468-3CFB49317E77}" name="Team" dataDxfId="1442"/>
    <tableColumn id="6" xr3:uid="{85E6E9A5-E99C-4B6D-B2C1-338E4E1FFB6A}" name="Time" dataDxfId="1441"/>
    <tableColumn id="7" xr3:uid="{66ED8F76-4F02-4328-A93E-6BE09478E1CC}" name="Category"/>
  </tableColumns>
  <tableStyleInfo name="TableStyleLight8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65A9B739-89C9-4257-89C6-3C54B3DE82E5}" name="Table44564" displayName="Table44564" ref="A47:G50" totalsRowShown="0" headerRowDxfId="1440" dataDxfId="1439" tableBorderDxfId="1438">
  <autoFilter ref="A47:G50" xr:uid="{7EF120C7-4833-43B1-A932-0A569965E78A}"/>
  <tableColumns count="7">
    <tableColumn id="1" xr3:uid="{E2F4F08D-E772-4674-85B8-B0CDF0C98AD4}" name="Place" dataDxfId="1437"/>
    <tableColumn id="2" xr3:uid="{5F4BE293-7826-4745-9707-EDD9C183630B}" name="Points" dataDxfId="1436"/>
    <tableColumn id="3" xr3:uid="{7ADBAE5F-363E-442F-A755-9741D428E94E}" name="Last" dataDxfId="1435"/>
    <tableColumn id="4" xr3:uid="{8D3B2A58-D1D2-4A6D-BB6A-0870334EA15F}" name="First" dataDxfId="1434"/>
    <tableColumn id="5" xr3:uid="{D0567B7B-FC61-4BA8-9375-52763F546458}" name="Team" dataDxfId="1433"/>
    <tableColumn id="6" xr3:uid="{20A680D1-335A-43B2-8769-A44531D9D1AF}" name="Time" dataDxfId="1432"/>
    <tableColumn id="7" xr3:uid="{40D0DE7F-13E5-4BCE-9C7F-E249BB3C6FE2}" name="Category" dataDxfId="1431"/>
  </tableColumns>
  <tableStyleInfo name="TableStyleLight8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6DBABB7F-8B99-47B6-87E4-B975E5FC14B7}" name="Table54665" displayName="Table54665" ref="A52:G54" totalsRowShown="0" headerRowDxfId="1430" dataDxfId="1429" tableBorderDxfId="1428">
  <autoFilter ref="A52:G54" xr:uid="{45671861-392C-46D5-8949-81D3A5BB3FB1}"/>
  <tableColumns count="7">
    <tableColumn id="1" xr3:uid="{15162215-AECC-4EFF-9206-302FD32A3849}" name="Place" dataDxfId="1427"/>
    <tableColumn id="2" xr3:uid="{367324CF-F301-4027-B5F9-72E8333AB135}" name="Points" dataDxfId="1426"/>
    <tableColumn id="3" xr3:uid="{B46FCFAB-8651-4AF7-BEE7-131E81E86F77}" name="Last" dataDxfId="1425"/>
    <tableColumn id="4" xr3:uid="{2D9CB632-79B7-41E4-A837-739447E39240}" name="First" dataDxfId="1424"/>
    <tableColumn id="5" xr3:uid="{38F00615-7AF1-4779-9253-28D60D066A89}" name="Team" dataDxfId="1423"/>
    <tableColumn id="6" xr3:uid="{B4116147-D12C-4C94-8B84-D7C5619E68D4}" name="Time" dataDxfId="1422"/>
    <tableColumn id="7" xr3:uid="{10045DC5-422A-4AD6-BD5D-DEACA40E3E14}" name="Category" dataDxfId="1421"/>
  </tableColumns>
  <tableStyleInfo name="TableStyleLight8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5A28839C-23BD-4FA2-A6E0-946D005D8483}" name="Table64766" displayName="Table64766" ref="A56:G64" totalsRowShown="0" headerRowDxfId="1420" dataDxfId="1419" tableBorderDxfId="1418">
  <autoFilter ref="A56:G64" xr:uid="{DD4C0487-3C1D-48CE-889D-00B3DCBBD5DC}"/>
  <tableColumns count="7">
    <tableColumn id="1" xr3:uid="{E6307CEF-26ED-438B-AB52-45E5BBE14DF4}" name="Place" dataDxfId="1417"/>
    <tableColumn id="2" xr3:uid="{4530D822-BF82-4E9A-ADE0-77B05AFB3386}" name="Points" dataDxfId="1416"/>
    <tableColumn id="3" xr3:uid="{C7C8D6A1-D474-46E5-86B7-69354D111ABF}" name="Last" dataDxfId="1415"/>
    <tableColumn id="4" xr3:uid="{8DBDCACD-1958-48AE-93F8-2AE98B84FB3C}" name="First" dataDxfId="1414"/>
    <tableColumn id="5" xr3:uid="{802A2A14-B2C3-4B57-8D7C-22B4468AE47D}" name="Team" dataDxfId="1413"/>
    <tableColumn id="6" xr3:uid="{CED7D517-DEC5-4C31-8E44-94E4CA48626F}" name="Time" dataDxfId="1412"/>
    <tableColumn id="7" xr3:uid="{4820B40C-5A5B-4D62-A9BD-D136C2543D28}" name="Category" dataDxfId="1411"/>
  </tableColumns>
  <tableStyleInfo name="TableStyleLight8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899CD556-E176-4613-8C0A-1540BE047400}" name="Table74867" displayName="Table74867" ref="A66:G68" totalsRowShown="0" headerRowDxfId="1410" dataDxfId="1409" tableBorderDxfId="1408">
  <autoFilter ref="A66:G68" xr:uid="{AFB287A9-7DDA-476C-B93D-7F22CBF72CDB}"/>
  <tableColumns count="7">
    <tableColumn id="1" xr3:uid="{2A2766F1-668B-4F37-9213-B9B3C5D82D6C}" name="Place" dataDxfId="1407"/>
    <tableColumn id="2" xr3:uid="{7B135BBE-2CDB-4B6A-8418-C47EF004F1B1}" name="Points" dataDxfId="1406"/>
    <tableColumn id="3" xr3:uid="{216E4263-3D13-4CCF-A590-051CE72F829B}" name="Last" dataDxfId="1405"/>
    <tableColumn id="4" xr3:uid="{DF7CC03E-6D4C-42E5-AB23-5A91BF5EFD8E}" name="First" dataDxfId="1404"/>
    <tableColumn id="5" xr3:uid="{C3D3E127-A448-4112-835B-B796E02DA0DF}" name="Team" dataDxfId="1403"/>
    <tableColumn id="6" xr3:uid="{ACD2EBD3-4C93-4F36-A0C3-903084EAC7B2}" name="Time" dataDxfId="1402"/>
    <tableColumn id="7" xr3:uid="{349EB894-B434-4FB6-8C50-E2F04D7C347E}" name="Category" dataDxfId="1401"/>
  </tableColumns>
  <tableStyleInfo name="TableStyleLight8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8C6218C2-6DE8-4412-A7FC-7AA4DEB795FD}" name="Table84968" displayName="Table84968" ref="A70:G71" totalsRowShown="0" headerRowDxfId="1400" dataDxfId="1399" tableBorderDxfId="1398">
  <autoFilter ref="A70:G71" xr:uid="{327265BE-D992-426A-B3AB-F69BDF1C9F11}"/>
  <tableColumns count="7">
    <tableColumn id="1" xr3:uid="{93F77015-C136-442C-A6F2-9C6AD0559A05}" name="Place" dataDxfId="1397"/>
    <tableColumn id="2" xr3:uid="{532A7D93-140F-4E12-9504-9EF468D98671}" name="Points" dataDxfId="1396"/>
    <tableColumn id="3" xr3:uid="{0517432F-C977-4686-90B7-20A67A3C924A}" name="Last" dataDxfId="1395"/>
    <tableColumn id="4" xr3:uid="{FE4C7224-E839-4CE1-B48A-85C9DFF7BC05}" name="First" dataDxfId="1394"/>
    <tableColumn id="5" xr3:uid="{46B7F2FA-8B94-477A-AF61-E107D5A53F19}" name="Team" dataDxfId="1393"/>
    <tableColumn id="6" xr3:uid="{04E15260-2169-4262-AB0C-1A8FFA9F6527}" name="Time" dataDxfId="1392"/>
    <tableColumn id="7" xr3:uid="{58A61775-1813-4C34-8EB0-E609C9C38626}" name="Category" dataDxfId="1391"/>
  </tableColumns>
  <tableStyleInfo name="TableStyleLight8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9457DFD6-468F-4C04-9317-EB18E5DEBE56}" name="Table95069" displayName="Table95069" ref="A73:H81" totalsRowShown="0" headerRowDxfId="1390" dataDxfId="1389" tableBorderDxfId="1388">
  <autoFilter ref="A73:H81" xr:uid="{DEE8DB81-02A0-4B3D-955D-BF6B08106958}"/>
  <tableColumns count="8">
    <tableColumn id="1" xr3:uid="{2D84FF3B-D109-4308-A14D-F511425FB054}" name="Place" dataDxfId="1387"/>
    <tableColumn id="2" xr3:uid="{C599354A-E1C7-495B-AB26-477576D940FA}" name="Points" dataDxfId="1386">
      <calculatedColumnFormula>IF(H74=1,MAX(21-A74,0),0)</calculatedColumnFormula>
    </tableColumn>
    <tableColumn id="3" xr3:uid="{8FEA5701-FE08-41AF-8D98-E0CB8303E51B}" name="Last" dataDxfId="1385"/>
    <tableColumn id="4" xr3:uid="{204EA7C8-C00F-484F-93EC-FD986C02113F}" name="First" dataDxfId="1384"/>
    <tableColumn id="5" xr3:uid="{3A48DB83-3E56-48A1-BAC8-7E041E32F9D1}" name="Team" dataDxfId="1383"/>
    <tableColumn id="6" xr3:uid="{E3C08DF6-E5F2-417B-8630-1ABD24746BA8}" name="Time" dataDxfId="1382"/>
    <tableColumn id="7" xr3:uid="{5742C361-F24F-4511-B666-D363B01408FA}" name="Category" dataDxfId="1381"/>
    <tableColumn id="8" xr3:uid="{4BECB07F-51A2-48E0-8E32-013E7F77331A}" name="Column1" dataDxfId="1380">
      <calculatedColumnFormula>COUNTIF(ValidTeams[],E74)</calculatedColumnFormula>
    </tableColumn>
  </tableColumns>
  <tableStyleInfo name="TableStyleLight8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CA0A64A7-8C0D-4C22-B44A-35133401C0F1}" name="Table105170" displayName="Table105170" ref="A83:H90" totalsRowShown="0" headerRowDxfId="1379" dataDxfId="1378" tableBorderDxfId="1377">
  <autoFilter ref="A83:H90" xr:uid="{D94FE680-30EE-468C-B0C7-D95D6D58BE3A}"/>
  <tableColumns count="8">
    <tableColumn id="1" xr3:uid="{2CD39FED-8494-4C87-996B-B7B8AEE99B61}" name="Place" dataDxfId="1376"/>
    <tableColumn id="2" xr3:uid="{348D1640-22BB-4A72-9181-01C622E1AFC2}" name="Points" dataDxfId="1375">
      <calculatedColumnFormula>IF(H84=1,MAX(21-A84,0),0)</calculatedColumnFormula>
    </tableColumn>
    <tableColumn id="3" xr3:uid="{C32B98C0-9525-450A-8210-12A3C41613DE}" name="Last" dataDxfId="1374"/>
    <tableColumn id="4" xr3:uid="{CF91C409-CE84-4E37-BDCA-C2B527FD8208}" name="First" dataDxfId="1373"/>
    <tableColumn id="5" xr3:uid="{E2C4D3FE-C8A4-4F35-8ED0-B4B22F4F195F}" name="Team" dataDxfId="1372"/>
    <tableColumn id="6" xr3:uid="{E121C0B4-D85F-478C-8C87-446227856618}" name="Time" dataDxfId="1371"/>
    <tableColumn id="7" xr3:uid="{A9B71F24-44FE-4D04-909F-1DA1BD98BD1E}" name="Category" dataDxfId="1370"/>
    <tableColumn id="8" xr3:uid="{00B421CC-F6FC-4AE2-B3B6-FEFF45CF7AC7}" name="Column1" dataDxfId="1369">
      <calculatedColumnFormula>COUNTIF(ValidTeams[],E84)</calculatedColumnFormula>
    </tableColumn>
  </tableColumns>
  <tableStyleInfo name="TableStyleLight8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4DF36A1D-3A36-4293-B6D5-AA2B76A0EEFC}" name="Table115271" displayName="Table115271" ref="A92:H105" totalsRowShown="0" headerRowDxfId="1368" dataDxfId="1367" tableBorderDxfId="1366">
  <autoFilter ref="A92:H105" xr:uid="{8DB3CF6A-DE15-42E5-9DE4-8E377BFEF7FB}"/>
  <tableColumns count="8">
    <tableColumn id="1" xr3:uid="{6401A444-B804-4998-99B0-9B44B00A9B2C}" name="Place" dataDxfId="1365"/>
    <tableColumn id="2" xr3:uid="{DD04D755-64A4-40DE-BC91-13024C2A8189}" name="Points" dataDxfId="1364">
      <calculatedColumnFormula>IF(H93=1,MAX(21-A93,0),0)</calculatedColumnFormula>
    </tableColumn>
    <tableColumn id="3" xr3:uid="{BADC35D2-AD85-458D-A54F-7C87354FC18B}" name="Last" dataDxfId="1363"/>
    <tableColumn id="4" xr3:uid="{2632C985-17CA-4D4A-A7F0-D5F88278F431}" name="First" dataDxfId="1362"/>
    <tableColumn id="5" xr3:uid="{0854D011-FAB0-4B37-A215-57CF2C74BFF1}" name="Team" dataDxfId="1361"/>
    <tableColumn id="6" xr3:uid="{AEBFC7F9-3E46-4878-ABBC-A6B58C9EA044}" name="Time" dataDxfId="1360"/>
    <tableColumn id="7" xr3:uid="{4617669D-C509-4F9D-B372-19113CD2EA6B}" name="Category" dataDxfId="1359"/>
    <tableColumn id="8" xr3:uid="{45257938-9348-49AD-8153-9ED19719D095}" name="Column1" dataDxfId="1358">
      <calculatedColumnFormula>COUNTIF(ValidTeams[],E93)</calculatedColumnFormula>
    </tableColumn>
  </tableColumns>
  <tableStyleInfo name="TableStyleLight8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2237A574-D6E6-44A4-8E53-DDC33DC07E28}" name="Table125372" displayName="Table125372" ref="A107:H120" totalsRowShown="0" headerRowDxfId="1357" dataDxfId="1356" tableBorderDxfId="1355">
  <autoFilter ref="A107:H120" xr:uid="{11C18E5B-2665-42D7-868D-9FA168F847E1}"/>
  <tableColumns count="8">
    <tableColumn id="1" xr3:uid="{6ACBBFA0-EB73-4FA3-919A-DC8110B806B8}" name="Place" dataDxfId="1354"/>
    <tableColumn id="2" xr3:uid="{F35F2F38-2489-4F35-9834-F13C08852FB6}" name="Points" dataDxfId="1353">
      <calculatedColumnFormula>IF(H108=1,MAX(21-A108,0),0)</calculatedColumnFormula>
    </tableColumn>
    <tableColumn id="3" xr3:uid="{64F9B6C9-61F8-40B9-93C8-06021D401FD1}" name="Last" dataDxfId="1352"/>
    <tableColumn id="4" xr3:uid="{B79FC239-FCD1-4B5D-9EB4-8948B628634A}" name="First" dataDxfId="1351"/>
    <tableColumn id="5" xr3:uid="{64232288-B92D-4AFC-B3D4-8758DD022148}" name="Team" dataDxfId="1350"/>
    <tableColumn id="6" xr3:uid="{3AFC6679-235A-4B16-9BE1-3CC7637F4E0D}" name="Time" dataDxfId="1349"/>
    <tableColumn id="7" xr3:uid="{751A0DFD-8846-41F8-8C51-A474E834F76E}" name="Category" dataDxfId="1348"/>
    <tableColumn id="8" xr3:uid="{A54447F2-C0B2-4453-90CE-77D66B8B64F9}" name="Column1" dataDxfId="1347">
      <calculatedColumnFormula>COUNTIF(ValidTeams[],E108)</calculatedColumnFormula>
    </tableColumn>
  </tableColumns>
  <tableStyleInfo name="TableStyleLight8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A0D4541C-A875-42BF-9A45-FACE76B09017}" name="Table135473" displayName="Table135473" ref="A122:H129" totalsRowShown="0" headerRowDxfId="1346" dataDxfId="1345" tableBorderDxfId="1344">
  <autoFilter ref="A122:H129" xr:uid="{5C62EA4D-B4AF-459A-9C78-1DDC91C11162}"/>
  <tableColumns count="8">
    <tableColumn id="1" xr3:uid="{65A7C03A-D85A-4C01-938A-844D8D6CB941}" name="Place" dataDxfId="1343"/>
    <tableColumn id="2" xr3:uid="{DE4D103A-BB8E-4A10-893F-85E75C4419BC}" name="Points" dataDxfId="1342">
      <calculatedColumnFormula>IF(H123=1,MAX(21-A123,0),0)</calculatedColumnFormula>
    </tableColumn>
    <tableColumn id="3" xr3:uid="{050596F4-4ABE-4B89-BCCE-AFB3DE7AF2DD}" name="Last" dataDxfId="1341"/>
    <tableColumn id="4" xr3:uid="{080C94FB-1F13-4C3F-8544-DCADDB3ACAEA}" name="First" dataDxfId="1340"/>
    <tableColumn id="5" xr3:uid="{8064D2F9-0051-4CD1-BF56-2298E488710D}" name="Team" dataDxfId="1339"/>
    <tableColumn id="6" xr3:uid="{9F66C8D7-462E-4986-9689-01763AFE5855}" name="Time" dataDxfId="1338"/>
    <tableColumn id="7" xr3:uid="{998EF16B-7417-4386-8618-DEA546EA1FE3}" name="Category" dataDxfId="1337"/>
    <tableColumn id="8" xr3:uid="{4E97A305-408F-4C39-9F43-C09073BCB8E9}" name="Column1" dataDxfId="1336">
      <calculatedColumnFormula>COUNTIF(ValidTeams[],E123)</calculatedColumnFormula>
    </tableColumn>
  </tableColumns>
  <tableStyleInfo name="TableStyleLight8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763A8BA0-076A-48BF-B385-36469B1D6EC3}" name="Table145574" displayName="Table145574" ref="A131:H153" totalsRowShown="0" headerRowDxfId="1335" dataDxfId="1334" tableBorderDxfId="1333">
  <autoFilter ref="A131:H153" xr:uid="{26DCB4CA-2DE7-4A48-9E63-A3B293850C38}"/>
  <tableColumns count="8">
    <tableColumn id="1" xr3:uid="{5133563B-F97A-45BC-8B7D-529FD4F51C88}" name="Place" dataDxfId="1332"/>
    <tableColumn id="2" xr3:uid="{6CDC4912-CD1F-4C1F-A8FE-5B6B7D09B183}" name="Points" dataDxfId="1331">
      <calculatedColumnFormula>IF(H132=1,MAX(21-A132,0),0)</calculatedColumnFormula>
    </tableColumn>
    <tableColumn id="3" xr3:uid="{EF49D3F5-AF97-4231-8E04-0A93B3EAB960}" name="Last" dataDxfId="1330"/>
    <tableColumn id="4" xr3:uid="{F5271E1D-8A86-46D2-BA36-7D66394C0300}" name="First" dataDxfId="1329"/>
    <tableColumn id="5" xr3:uid="{96C7AFDF-CF80-4559-9F2B-9C2ED2A86BE4}" name="Team" dataDxfId="1328"/>
    <tableColumn id="6" xr3:uid="{18FD731B-60C1-40C8-8C8C-877A7E9F1092}" name="Time" dataDxfId="1327"/>
    <tableColumn id="7" xr3:uid="{E38730B3-DA3A-4364-9BBB-B5CE1B9D079E}" name="Category" dataDxfId="1326"/>
    <tableColumn id="8" xr3:uid="{F16A3229-0A75-4383-8570-0AF782DD6F0D}" name="Column1" dataDxfId="1325">
      <calculatedColumnFormula>COUNTIF(ValidTeams[],E132)</calculatedColumnFormula>
    </tableColumn>
  </tableColumns>
  <tableStyleInfo name="TableStyleLight8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B3C6424A-910D-4B5A-97C3-DB6302E1E597}" name="Table155675" displayName="Table155675" ref="A155:H166" totalsRowShown="0" headerRowDxfId="1324" dataDxfId="1323" tableBorderDxfId="1322">
  <autoFilter ref="A155:H166" xr:uid="{C613AFCE-296E-4B0B-BEBE-924A468844E2}"/>
  <tableColumns count="8">
    <tableColumn id="1" xr3:uid="{1E3EC7FE-1353-424C-8F76-B803A3D6B519}" name="Place" dataDxfId="1321"/>
    <tableColumn id="2" xr3:uid="{79B409D5-B5EF-4356-8425-E18CD0A4F85A}" name="Points" dataDxfId="1320">
      <calculatedColumnFormula>IF(H156=1,MAX(21-A156,0),0)</calculatedColumnFormula>
    </tableColumn>
    <tableColumn id="3" xr3:uid="{AB29346E-B498-4E8B-8E97-F28773D03FBD}" name="Last" dataDxfId="1319"/>
    <tableColumn id="4" xr3:uid="{F0ABBE5A-EF75-48CD-8208-87A17B44F4D3}" name="First" dataDxfId="1318"/>
    <tableColumn id="5" xr3:uid="{0EB866A8-4E50-4E14-A0A7-BD2B34EB59BA}" name="Team" dataDxfId="1317"/>
    <tableColumn id="6" xr3:uid="{FD1F166A-E236-420E-A451-645FC5CF643C}" name="Time" dataDxfId="1316"/>
    <tableColumn id="7" xr3:uid="{3CA45F0A-4868-49FF-9583-E1FEC9C8C085}" name="Category" dataDxfId="1315"/>
    <tableColumn id="8" xr3:uid="{BB3DC69D-8196-4C68-97C2-D67867C2053A}" name="Column1" dataDxfId="1314">
      <calculatedColumnFormula>COUNTIF(ValidTeams[],E156)</calculatedColumnFormula>
    </tableColumn>
  </tableColumns>
  <tableStyleInfo name="TableStyleLight8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281D25FA-8C27-49D8-98FE-A86E565D52BA}" name="Table165776" displayName="Table165776" ref="A168:H190" totalsRowShown="0" headerRowDxfId="1313" dataDxfId="1312" tableBorderDxfId="1311">
  <autoFilter ref="A168:H190" xr:uid="{633EC92F-01AA-4268-8AC0-ADD3DB9BC5E8}"/>
  <tableColumns count="8">
    <tableColumn id="1" xr3:uid="{2BAB2E8D-B0CD-41F5-A893-93092F0CB42C}" name="Place" dataDxfId="1310"/>
    <tableColumn id="2" xr3:uid="{5EA2623F-5AAA-4F8F-AD97-099DD33A1FE1}" name="Points" dataDxfId="1309">
      <calculatedColumnFormula>IF(H169=1,MAX(21-A169,0),0)</calculatedColumnFormula>
    </tableColumn>
    <tableColumn id="3" xr3:uid="{6E07A88A-3594-4CFE-A495-0D613B647AA1}" name="Last" dataDxfId="1308"/>
    <tableColumn id="4" xr3:uid="{837BEB38-29DA-4938-BD1D-D9D380EA0491}" name="First" dataDxfId="1307"/>
    <tableColumn id="5" xr3:uid="{59250F38-13A1-4F69-8821-2602F337E2D6}" name="Team" dataDxfId="1306"/>
    <tableColumn id="6" xr3:uid="{33FF92BF-ADD8-4B94-B5AE-AD66CE80F7B3}" name="Time" dataDxfId="1305"/>
    <tableColumn id="7" xr3:uid="{F4001BB5-374D-481C-9311-3B0F80B12CD7}" name="Category" dataDxfId="1304"/>
    <tableColumn id="8" xr3:uid="{012D92DD-EB17-4D83-A949-91CBBB43E7A4}" name="Column1" dataDxfId="1303">
      <calculatedColumnFormula>COUNTIF(ValidTeams[],E169)</calculatedColumnFormula>
    </tableColumn>
  </tableColumns>
  <tableStyleInfo name="TableStyleLight8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413F2A1B-087A-4516-9131-AD6B6260AD78}" name="Table175877" displayName="Table175877" ref="A192:H197" totalsRowShown="0" headerRowDxfId="1302" dataDxfId="1301" tableBorderDxfId="1300">
  <autoFilter ref="A192:H197" xr:uid="{5B01C281-9700-4C4F-829B-AC07CD26C4E6}"/>
  <tableColumns count="8">
    <tableColumn id="1" xr3:uid="{EC64E753-22FA-4CB1-BDB2-CDFC9A9C9D4C}" name="Place" dataDxfId="1299"/>
    <tableColumn id="2" xr3:uid="{CF33DC57-46B5-4E27-B3D8-4AE98C3DFE21}" name="Points" dataDxfId="1298">
      <calculatedColumnFormula>IF(H193=1,MAX(21-A193,0),0)</calculatedColumnFormula>
    </tableColumn>
    <tableColumn id="3" xr3:uid="{38A7B761-9A14-4CB5-BD87-392A9917FD01}" name="Last" dataDxfId="1297"/>
    <tableColumn id="4" xr3:uid="{4AE3B5A2-3A7A-4E75-9A47-C8F4C2FEF8E8}" name="First" dataDxfId="1296"/>
    <tableColumn id="5" xr3:uid="{BEFA767D-7177-4548-AEF9-899B591D0D6E}" name="Team" dataDxfId="1295"/>
    <tableColumn id="6" xr3:uid="{93D2602D-5672-43ED-B103-742114440010}" name="Time" dataDxfId="1294"/>
    <tableColumn id="7" xr3:uid="{814CA2D7-C8C8-4945-A559-A4F935843670}" name="Category" dataDxfId="1293"/>
    <tableColumn id="8" xr3:uid="{4AD5E4CD-A2A4-4EBF-8812-D2594C2FA537}" name="Column1" dataDxfId="1292">
      <calculatedColumnFormula>COUNTIF(ValidTeams[],E193)</calculatedColumnFormula>
    </tableColumn>
  </tableColumns>
  <tableStyleInfo name="TableStyleLight8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C9E03876-787B-4D1C-A329-8B6C325CA1F5}" name="Table205978" displayName="Table205978" ref="A199:H211" totalsRowShown="0" headerRowDxfId="1291" dataDxfId="1290" tableBorderDxfId="1289">
  <autoFilter ref="A199:H211" xr:uid="{DA1AAF35-E6EB-4EFD-A0FD-8BF58AF120BE}"/>
  <tableColumns count="8">
    <tableColumn id="1" xr3:uid="{8EFE2073-58A1-4E52-9B28-1C2CE7E2BB0A}" name="Place" dataDxfId="1288"/>
    <tableColumn id="2" xr3:uid="{D911590B-D0E2-41CD-8ACC-87866E865A1B}" name="Points" dataDxfId="1287">
      <calculatedColumnFormula>IF(H200=1,MAX(21-A200,0),0)</calculatedColumnFormula>
    </tableColumn>
    <tableColumn id="3" xr3:uid="{B3D6FEC4-CB2E-4AC0-974C-6BB727F6AF7C}" name="Last" dataDxfId="1286"/>
    <tableColumn id="4" xr3:uid="{DD4D8992-2F88-41DD-BFDD-A4F4DE594497}" name="First" dataDxfId="1285"/>
    <tableColumn id="5" xr3:uid="{59FB839A-BAE7-4913-8CCF-F8D6E9C97ACC}" name="Team" dataDxfId="1284"/>
    <tableColumn id="6" xr3:uid="{2ABF31B1-EC07-4886-997A-A45F9E39E02B}" name="Time" dataDxfId="1283"/>
    <tableColumn id="7" xr3:uid="{2EDC9AED-4EB4-4C93-9A9F-6B164CAED4B6}" name="Category" dataDxfId="1282"/>
    <tableColumn id="8" xr3:uid="{2EDD3908-92B8-4081-AF75-4E737CB4B0A5}" name="Column1" dataDxfId="1281">
      <calculatedColumnFormula>COUNTIF(ValidTeams[],E200)</calculatedColumnFormula>
    </tableColumn>
  </tableColumns>
  <tableStyleInfo name="TableStyleLight8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19712677-7C02-4FBA-AC7C-0BECD013DE4D}" name="Table216079" displayName="Table216079" ref="A213:H221" totalsRowShown="0" headerRowDxfId="1280" dataDxfId="1279" tableBorderDxfId="1278">
  <autoFilter ref="A213:H221" xr:uid="{9D8B37F4-8CF3-43C5-9AB4-D32258C99D79}"/>
  <tableColumns count="8">
    <tableColumn id="1" xr3:uid="{56789EC8-E228-488A-848E-1924E90DBAE9}" name="Place" dataDxfId="1277"/>
    <tableColumn id="2" xr3:uid="{04096C58-BD47-4FA8-9B68-C828EECC5289}" name="Points" dataDxfId="1276">
      <calculatedColumnFormula>IF(H214=1,MAX(21-A214,0),0)</calculatedColumnFormula>
    </tableColumn>
    <tableColumn id="3" xr3:uid="{52E34D4B-11DF-42F0-98E6-867D7ED4C030}" name="Last" dataDxfId="1275"/>
    <tableColumn id="4" xr3:uid="{A9A7C33B-8FD7-4E82-AA7E-DCBA94B748E2}" name="First" dataDxfId="1274"/>
    <tableColumn id="5" xr3:uid="{C7E26D4F-B3F0-4A5B-B272-B9DF0B6E8EC5}" name="Team" dataDxfId="1273"/>
    <tableColumn id="6" xr3:uid="{A5285267-40B6-4E9D-BF38-72EA7C21E7FA}" name="Time" dataDxfId="1272"/>
    <tableColumn id="7" xr3:uid="{B7D99DA0-37DE-4EBD-AA2D-630073FB6B5F}" name="Category" dataDxfId="1271"/>
    <tableColumn id="8" xr3:uid="{373E9E04-FA82-4293-B1F6-00ABC3A88767}" name="Column1" dataDxfId="1270">
      <calculatedColumnFormula>COUNTIF(ValidTeams[],E214)</calculatedColumnFormula>
    </tableColumn>
  </tableColumns>
  <tableStyleInfo name="TableStyleLight8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F83E24BF-4960-45D9-A807-63CD6E923011}" name="Table1196181" displayName="Table1196181" ref="A1:H23" totalsRowShown="0">
  <autoFilter ref="A1:H23" xr:uid="{2BE81515-F432-403B-B177-0191F3B6EF4A}"/>
  <tableColumns count="8">
    <tableColumn id="1" xr3:uid="{5BC7C622-504C-4FDF-ADF5-C62001211085}" name="Place"/>
    <tableColumn id="7" xr3:uid="{501F657C-A1CA-465E-B25E-D03771FD63BE}" name="Points" dataDxfId="1267">
      <calculatedColumnFormula>IF(H2=1,MAX(21-A2,0),0)</calculatedColumnFormula>
    </tableColumn>
    <tableColumn id="2" xr3:uid="{1CC9749D-2DAB-4FAB-8ED7-5334AA5AC8E6}" name="Last"/>
    <tableColumn id="3" xr3:uid="{D2F00148-6F51-49CB-8D77-05B4EB52FF8E}" name="First"/>
    <tableColumn id="4" xr3:uid="{10B74F34-9E9E-46F5-93B6-FD449006B038}" name="Team"/>
    <tableColumn id="5" xr3:uid="{E73AAEB8-8007-42D8-BE1A-9961439F37F7}" name="Time" dataDxfId="1266"/>
    <tableColumn id="6" xr3:uid="{AC18F0D8-CFDD-4CA1-810C-D62C626C7ECA}" name="Category"/>
    <tableColumn id="8" xr3:uid="{8A2BEF5B-2D7C-4145-8639-64B6F156D93B}" name="Valid" dataDxfId="1265">
      <calculatedColumnFormula>COUNTIF(ValidTeams[],E2)</calculatedColumnFormula>
    </tableColumn>
  </tableColumns>
  <tableStyleInfo name="TableStyleLight8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301FF245-9FDC-484B-B4B9-B1E4A4307F4F}" name="Table2206282" displayName="Table2206282" ref="A25:H37" totalsRowShown="0">
  <autoFilter ref="A25:H37" xr:uid="{C25A9C4A-FB27-47B1-9547-9602F89B7537}"/>
  <tableColumns count="8">
    <tableColumn id="1" xr3:uid="{D1B0751E-9C05-480C-8585-807A3C9B4EFB}" name="Place"/>
    <tableColumn id="7" xr3:uid="{94A67A19-9549-4263-B432-C8B4442EC9C2}" name="Points" dataDxfId="1264">
      <calculatedColumnFormula>IF(H26=1,MAX(21-A26,0),0)</calculatedColumnFormula>
    </tableColumn>
    <tableColumn id="2" xr3:uid="{66E96E54-A6B0-46D9-B327-BD6398748092}" name="Last"/>
    <tableColumn id="3" xr3:uid="{028E2A14-AC1A-4CA5-8603-F9AA2E667ED3}" name="First"/>
    <tableColumn id="4" xr3:uid="{85265183-2008-45B8-A4DC-CEC5C597DD56}" name="Team"/>
    <tableColumn id="5" xr3:uid="{AA6F7B87-CB1B-4A7C-9943-EBD9370F51DA}" name="Time" dataDxfId="1263"/>
    <tableColumn id="6" xr3:uid="{2A6A345F-3416-4956-81B5-CC7D98D55DA6}" name="Category"/>
    <tableColumn id="8" xr3:uid="{7D6D039D-612C-42E0-9966-0691DEF70475}" name="Column1" dataDxfId="1262">
      <calculatedColumnFormula>COUNTIF(ValidTeams[],E26)</calculatedColumnFormula>
    </tableColumn>
  </tableColumns>
  <tableStyleInfo name="TableStyleLight8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1604FD87-84A5-40B9-803A-EBA727C9DFA1}" name="Table3446383" displayName="Table3446383" ref="A39:G45" totalsRowShown="0">
  <autoFilter ref="A39:G45" xr:uid="{B49FE676-3971-4254-B3CE-8A0E8A4B0CB6}"/>
  <tableColumns count="7">
    <tableColumn id="1" xr3:uid="{A8CF6989-5442-4684-B1CF-9EE00049EE53}" name="Place"/>
    <tableColumn id="2" xr3:uid="{DD12C8CE-D3E3-4FB8-A022-D2C5853E2948}" name="Points"/>
    <tableColumn id="3" xr3:uid="{6D04D068-058C-4064-995D-F2C402CE3F74}" name="Last"/>
    <tableColumn id="4" xr3:uid="{36C23C42-CB7E-405B-9A53-35978CF18985}" name="First"/>
    <tableColumn id="5" xr3:uid="{DBE110D6-2A62-48CF-AD8B-7829DA611942}" name="Team" dataDxfId="1261"/>
    <tableColumn id="6" xr3:uid="{3D7A408F-8B12-405A-8356-D4E20C5509E4}" name="Time" dataDxfId="1260"/>
    <tableColumn id="7" xr3:uid="{5DB8F371-2E87-43EE-B6E0-5CE6DE24C29D}" name="Category"/>
  </tableColumns>
  <tableStyleInfo name="TableStyleLight8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734BBEF6-9123-47FF-B33B-77C46B770D08}" name="Table4456484" displayName="Table4456484" ref="A47:G50" totalsRowShown="0" headerRowDxfId="1259" dataDxfId="1258" tableBorderDxfId="1257">
  <autoFilter ref="A47:G50" xr:uid="{7EF120C7-4833-43B1-A932-0A569965E78A}"/>
  <tableColumns count="7">
    <tableColumn id="1" xr3:uid="{0DA282C8-03E2-4860-98B6-E02AA039FC24}" name="Place" dataDxfId="1256"/>
    <tableColumn id="2" xr3:uid="{D4CE6583-282C-4E86-89D3-9D911E1419A5}" name="Points" dataDxfId="1255"/>
    <tableColumn id="3" xr3:uid="{B066B396-7C6B-4A1D-A7A2-6BDDF551E27D}" name="Last" dataDxfId="1254"/>
    <tableColumn id="4" xr3:uid="{49DD3EDD-7915-4A72-8624-5DC66355ED0D}" name="First" dataDxfId="1253"/>
    <tableColumn id="5" xr3:uid="{F67DD0DE-CED3-4E42-8DBB-D78EF7F91DD3}" name="Team" dataDxfId="1252"/>
    <tableColumn id="6" xr3:uid="{FEE60694-3D7E-454A-AB53-FCBC644B3673}" name="Time" dataDxfId="1251"/>
    <tableColumn id="7" xr3:uid="{5A139F0B-C288-4F85-8FCD-BF259651836A}" name="Category" dataDxfId="1250"/>
  </tableColumns>
  <tableStyleInfo name="TableStyleLight8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C9B293D5-ACC1-46B6-A28F-A1D1E5A41249}" name="Table5466585" displayName="Table5466585" ref="A52:G54" totalsRowShown="0" headerRowDxfId="1249" dataDxfId="1248" tableBorderDxfId="1247">
  <autoFilter ref="A52:G54" xr:uid="{45671861-392C-46D5-8949-81D3A5BB3FB1}"/>
  <tableColumns count="7">
    <tableColumn id="1" xr3:uid="{0938D21E-F73F-49CF-887A-2A92552A7A79}" name="Place" dataDxfId="1246"/>
    <tableColumn id="2" xr3:uid="{295BA734-E709-4FA7-8D95-6DB883B4E865}" name="Points" dataDxfId="1245"/>
    <tableColumn id="3" xr3:uid="{A0B6CFB0-97AA-4ECC-B91E-9EC3A09F5303}" name="Last" dataDxfId="1244"/>
    <tableColumn id="4" xr3:uid="{95EA083B-1865-4163-AE87-BF2C0FFC410C}" name="First" dataDxfId="1243"/>
    <tableColumn id="5" xr3:uid="{111C08C9-5EB6-426A-AAF8-D8E7023AF78C}" name="Team" dataDxfId="1242"/>
    <tableColumn id="6" xr3:uid="{422A01DB-DF5F-4249-876E-0637E55C9F71}" name="Time" dataDxfId="1241"/>
    <tableColumn id="7" xr3:uid="{09253C0B-06CE-44C3-94D8-6B8F0AF284D1}" name="Category" dataDxfId="1240"/>
  </tableColumns>
  <tableStyleInfo name="TableStyleLight8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6C2B723D-F126-479D-925A-959F4595C746}" name="Table6476686" displayName="Table6476686" ref="A56:G64" totalsRowShown="0" headerRowDxfId="1239" dataDxfId="1238" tableBorderDxfId="1237">
  <autoFilter ref="A56:G64" xr:uid="{DD4C0487-3C1D-48CE-889D-00B3DCBBD5DC}"/>
  <tableColumns count="7">
    <tableColumn id="1" xr3:uid="{4C0A8EE2-DB95-4F16-8501-BED98976B0E8}" name="Place" dataDxfId="1236"/>
    <tableColumn id="2" xr3:uid="{16BBFF98-38D1-4F31-9A80-9621B27035C3}" name="Points" dataDxfId="1235"/>
    <tableColumn id="3" xr3:uid="{3B898F2F-4404-47E9-B67D-CFDE5093466E}" name="Last" dataDxfId="1234"/>
    <tableColumn id="4" xr3:uid="{520D9675-67BA-43CC-A032-7CCED2CC56BA}" name="First" dataDxfId="1233"/>
    <tableColumn id="5" xr3:uid="{72795793-E0C6-46B2-A7E7-9033777E44A8}" name="Team" dataDxfId="1232"/>
    <tableColumn id="6" xr3:uid="{5E736F60-7923-4E2A-87B4-95F03A4EADA5}" name="Time" dataDxfId="1231"/>
    <tableColumn id="7" xr3:uid="{70D83352-06BD-46B5-8B7D-5F210BAF0107}" name="Category" dataDxfId="1230"/>
  </tableColumns>
  <tableStyleInfo name="TableStyleLight8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836FAA09-4599-48B5-A122-8778C30585AD}" name="Table7486787" displayName="Table7486787" ref="A66:G68" totalsRowShown="0" headerRowDxfId="1229" dataDxfId="1228" tableBorderDxfId="1227">
  <autoFilter ref="A66:G68" xr:uid="{AFB287A9-7DDA-476C-B93D-7F22CBF72CDB}"/>
  <tableColumns count="7">
    <tableColumn id="1" xr3:uid="{B0FCA995-22F9-46D6-92D4-C9D5233220F9}" name="Place" dataDxfId="1226"/>
    <tableColumn id="2" xr3:uid="{96D3ABED-EB8D-4EE5-9AF6-23E8259AE7F1}" name="Points" dataDxfId="1225"/>
    <tableColumn id="3" xr3:uid="{EC6F54A5-49A3-4ECC-B44C-F427201D8B96}" name="Last" dataDxfId="1224"/>
    <tableColumn id="4" xr3:uid="{44F33824-1411-49B1-9D22-11E54251F4DD}" name="First" dataDxfId="1223"/>
    <tableColumn id="5" xr3:uid="{5B4E82EE-FEC1-48C1-AE25-470240A060C0}" name="Team" dataDxfId="1222"/>
    <tableColumn id="6" xr3:uid="{D0269FF5-C14A-443B-9D46-56FA3824739F}" name="Time" dataDxfId="1221"/>
    <tableColumn id="7" xr3:uid="{60CACE00-00E1-42DC-9B84-F2279AFACBB1}" name="Category" dataDxfId="1220"/>
  </tableColumns>
  <tableStyleInfo name="TableStyleLight8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0D05877C-F943-4A95-B220-B3FBA0BB3E4C}" name="Table8496888" displayName="Table8496888" ref="A70:G71" totalsRowShown="0" headerRowDxfId="1219" dataDxfId="1218" tableBorderDxfId="1217">
  <autoFilter ref="A70:G71" xr:uid="{327265BE-D992-426A-B3AB-F69BDF1C9F11}"/>
  <tableColumns count="7">
    <tableColumn id="1" xr3:uid="{BD04B9D2-C569-4B75-AC8B-65AB17D5B8A9}" name="Place" dataDxfId="1216"/>
    <tableColumn id="2" xr3:uid="{441A0AE8-7D95-4193-B854-C44985D45404}" name="Points" dataDxfId="1215"/>
    <tableColumn id="3" xr3:uid="{7F7821F4-D2D5-40E9-94F7-47A9C7235CE6}" name="Last" dataDxfId="1214"/>
    <tableColumn id="4" xr3:uid="{A2E20F16-49EC-4875-8058-3772399AF5A5}" name="First" dataDxfId="1213"/>
    <tableColumn id="5" xr3:uid="{586EB6D7-EF5B-47C5-9605-10DB57AF3695}" name="Team" dataDxfId="1212"/>
    <tableColumn id="6" xr3:uid="{D4D2D96E-03F9-4C3C-B142-0D09BC367A96}" name="Time" dataDxfId="1211"/>
    <tableColumn id="7" xr3:uid="{02818557-4B51-4420-9391-A33295ED7B4D}" name="Category" dataDxfId="1210"/>
  </tableColumns>
  <tableStyleInfo name="TableStyleLight8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ED74775E-C28D-4BB7-9B8C-421134DAE70E}" name="Table9506989" displayName="Table9506989" ref="A73:H81" totalsRowShown="0" headerRowDxfId="1209" dataDxfId="1208" tableBorderDxfId="1207">
  <autoFilter ref="A73:H81" xr:uid="{DEE8DB81-02A0-4B3D-955D-BF6B08106958}"/>
  <tableColumns count="8">
    <tableColumn id="1" xr3:uid="{4ABF1C28-2EEB-4C30-8B8F-66671801ADEA}" name="Place" dataDxfId="1206"/>
    <tableColumn id="2" xr3:uid="{E37C3836-3675-4B0C-9F6A-013B37CD7DE5}" name="Points" dataDxfId="1205">
      <calculatedColumnFormula>IF(H74=1,MAX(21-A74,0),0)</calculatedColumnFormula>
    </tableColumn>
    <tableColumn id="3" xr3:uid="{250AB6AD-2D77-4B92-BEF1-0C3E4B16676D}" name="Last" dataDxfId="1204"/>
    <tableColumn id="4" xr3:uid="{E05003DB-176B-4A75-8263-E2A3C643B912}" name="First" dataDxfId="1203"/>
    <tableColumn id="5" xr3:uid="{D5866D18-C9F7-455B-A72F-86CC65C769F4}" name="Team" dataDxfId="1202"/>
    <tableColumn id="6" xr3:uid="{485548C6-D0A1-4E73-B2ED-9814B6DE327C}" name="Time" dataDxfId="1201"/>
    <tableColumn id="7" xr3:uid="{4AB740A3-F111-488D-9BEB-6A90084504D4}" name="Category" dataDxfId="1200"/>
    <tableColumn id="8" xr3:uid="{A5925D99-51F5-4BA4-AA03-4ED40C860B99}" name="Column1" dataDxfId="1199">
      <calculatedColumnFormula>COUNTIF(ValidTeams[],E74)</calculatedColumnFormula>
    </tableColumn>
  </tableColumns>
  <tableStyleInfo name="TableStyleLight8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A06B94B0-6F6C-430F-B5F3-DB420B3E05C9}" name="Table10517090" displayName="Table10517090" ref="A83:H93" totalsRowShown="0" headerRowDxfId="1198" dataDxfId="1197" tableBorderDxfId="1196">
  <autoFilter ref="A83:H93" xr:uid="{D94FE680-30EE-468C-B0C7-D95D6D58BE3A}"/>
  <tableColumns count="8">
    <tableColumn id="1" xr3:uid="{CFDF7C98-E7FF-4286-8566-2496AB9E3C2C}" name="Place" dataDxfId="1195"/>
    <tableColumn id="2" xr3:uid="{EBBB7343-3BEE-473E-A235-30F06F832479}" name="Points" dataDxfId="1194">
      <calculatedColumnFormula>IF(H84=1,MAX(21-A84,0),0)</calculatedColumnFormula>
    </tableColumn>
    <tableColumn id="3" xr3:uid="{1552711A-3AD5-4CD1-92E7-CBFACE3512B6}" name="Last" dataDxfId="1193"/>
    <tableColumn id="4" xr3:uid="{26889C29-412D-440B-97E6-11C1EE224416}" name="First" dataDxfId="1192"/>
    <tableColumn id="5" xr3:uid="{5584981E-8375-4505-AF0A-D8D6F3EE660D}" name="Team" dataDxfId="1191"/>
    <tableColumn id="6" xr3:uid="{C8EEC9E0-F0AC-4A95-9202-E3BA8F2D8EC1}" name="Time" dataDxfId="1190"/>
    <tableColumn id="7" xr3:uid="{26960D99-B392-484F-92A8-7F44F8B30B59}" name="Category" dataDxfId="1189"/>
    <tableColumn id="8" xr3:uid="{4CDD848B-BC77-4C6F-A5FB-D451F8C4D634}" name="Column1" dataDxfId="1188">
      <calculatedColumnFormula>COUNTIF(ValidTeams[],E84)</calculatedColumnFormula>
    </tableColumn>
  </tableColumns>
  <tableStyleInfo name="TableStyleLight8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B9252305-BC7A-42A9-8A97-CF19568508B4}" name="Table11527191" displayName="Table11527191" ref="A95:H108" totalsRowShown="0" headerRowDxfId="1187" dataDxfId="1186" tableBorderDxfId="1185">
  <autoFilter ref="A95:H108" xr:uid="{8DB3CF6A-DE15-42E5-9DE4-8E377BFEF7FB}"/>
  <tableColumns count="8">
    <tableColumn id="1" xr3:uid="{C7887E6E-6066-431C-B4B9-4032F8F6DA20}" name="Place" dataDxfId="1184"/>
    <tableColumn id="2" xr3:uid="{6BA68A89-DD05-4FE7-923E-03C2E5DCD73C}" name="Points" dataDxfId="1183">
      <calculatedColumnFormula>IF(H96=1,MAX(21-A96,0),0)</calculatedColumnFormula>
    </tableColumn>
    <tableColumn id="3" xr3:uid="{D5EC6FEC-36E0-4D47-92B0-28068D6800FF}" name="Last" dataDxfId="1182"/>
    <tableColumn id="4" xr3:uid="{683E7C66-4999-427C-9EC8-38A6615E5ACE}" name="First" dataDxfId="1181"/>
    <tableColumn id="5" xr3:uid="{F2616DE5-E9AD-4229-BDC9-58B9A1066EDD}" name="Team" dataDxfId="1180"/>
    <tableColumn id="6" xr3:uid="{A573D8E0-4107-43DB-B13D-E26D0BD866B0}" name="Time" dataDxfId="1179"/>
    <tableColumn id="7" xr3:uid="{BEEBA53F-4336-443A-8944-FD05ED1EC13F}" name="Category" dataDxfId="1178"/>
    <tableColumn id="8" xr3:uid="{ECED690F-FA2C-41B0-A9C4-0B48C42F28CF}" name="Column1" dataDxfId="1177">
      <calculatedColumnFormula>COUNTIF(ValidTeams[],E96)</calculatedColumnFormula>
    </tableColumn>
  </tableColumns>
  <tableStyleInfo name="TableStyleLight8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B84C48FF-3CC8-4835-8F9C-7111EDC6679D}" name="Table12537292" displayName="Table12537292" ref="A110:H123" totalsRowShown="0" headerRowDxfId="1176" dataDxfId="1175" tableBorderDxfId="1174">
  <autoFilter ref="A110:H123" xr:uid="{11C18E5B-2665-42D7-868D-9FA168F847E1}"/>
  <tableColumns count="8">
    <tableColumn id="1" xr3:uid="{B9F45C08-705D-403C-82AF-6FD1AF19EF19}" name="Place" dataDxfId="1173"/>
    <tableColumn id="2" xr3:uid="{CD6E2A68-0FD2-4050-983A-8F1970964E0C}" name="Points" dataDxfId="1172">
      <calculatedColumnFormula>IF(H111=1,MAX(21-A111,0),0)</calculatedColumnFormula>
    </tableColumn>
    <tableColumn id="3" xr3:uid="{FD0516BD-A203-4680-AAC7-AC765FD10E86}" name="Last" dataDxfId="1171"/>
    <tableColumn id="4" xr3:uid="{43FA6508-2FC9-4891-B88C-5B587A60F784}" name="First" dataDxfId="1170"/>
    <tableColumn id="5" xr3:uid="{603F91B7-3B00-464A-B700-2666F66C0B84}" name="Team" dataDxfId="1169"/>
    <tableColumn id="6" xr3:uid="{AD935587-7924-4CC3-A93D-3494E43174DD}" name="Time" dataDxfId="1168"/>
    <tableColumn id="7" xr3:uid="{3FDE84AB-286F-4B63-84C2-11E7BF7D992D}" name="Category" dataDxfId="1167"/>
    <tableColumn id="8" xr3:uid="{6E1449CB-AF5B-4823-A21C-DED29CB8B315}" name="Column1" dataDxfId="1166">
      <calculatedColumnFormula>COUNTIF(ValidTeams[],E111)</calculatedColumnFormula>
    </tableColumn>
  </tableColumns>
  <tableStyleInfo name="TableStyleLight8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042704FF-93AC-4686-8717-9509C3E101A1}" name="Table13547393" displayName="Table13547393" ref="A125:H132" totalsRowShown="0" headerRowDxfId="1165" dataDxfId="1164" tableBorderDxfId="1163">
  <autoFilter ref="A125:H132" xr:uid="{5C62EA4D-B4AF-459A-9C78-1DDC91C11162}"/>
  <tableColumns count="8">
    <tableColumn id="1" xr3:uid="{26F4DE12-5312-4AA8-9094-242A6BB94140}" name="Place" dataDxfId="1162"/>
    <tableColumn id="2" xr3:uid="{5864116F-AE09-4535-B722-EC04D937DD4E}" name="Points" dataDxfId="1161">
      <calculatedColumnFormula>IF(H126=1,MAX(21-A126,0),0)</calculatedColumnFormula>
    </tableColumn>
    <tableColumn id="3" xr3:uid="{3ACA01C1-A1A4-43C4-8894-DA8D061F40B6}" name="Last" dataDxfId="1160"/>
    <tableColumn id="4" xr3:uid="{BD3CD71D-396A-4F57-B082-454E23AB950B}" name="First" dataDxfId="1159"/>
    <tableColumn id="5" xr3:uid="{E5F12D6E-0228-4D2B-A260-A1DE409A4730}" name="Team" dataDxfId="1158"/>
    <tableColumn id="6" xr3:uid="{87AE57E3-19D0-4ABE-B2C4-045265DDB3CA}" name="Time" dataDxfId="1157"/>
    <tableColumn id="7" xr3:uid="{41D7004B-6C4F-4BB9-B6D5-FF015CF9DBFE}" name="Category" dataDxfId="1156"/>
    <tableColumn id="8" xr3:uid="{C826428E-D268-475A-9E08-408755CFB9B7}" name="Column1" dataDxfId="1155">
      <calculatedColumnFormula>COUNTIF(ValidTeams[],E126)</calculatedColumnFormula>
    </tableColumn>
  </tableColumns>
  <tableStyleInfo name="TableStyleLight8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7F1C3ED7-6B20-4AD7-AD6C-6AB59971C5A1}" name="Table14557494" displayName="Table14557494" ref="A134:H156" totalsRowShown="0" headerRowDxfId="1154" dataDxfId="1153" tableBorderDxfId="1152">
  <autoFilter ref="A134:H156" xr:uid="{26DCB4CA-2DE7-4A48-9E63-A3B293850C38}"/>
  <tableColumns count="8">
    <tableColumn id="1" xr3:uid="{507D3E20-C814-4B11-816D-7DC8933A1025}" name="Place" dataDxfId="1151"/>
    <tableColumn id="2" xr3:uid="{B57F520F-0AA9-4A09-A5D5-EC34DA81AB75}" name="Points" dataDxfId="1150">
      <calculatedColumnFormula>IF(H135=1,MAX(21-A135,0),0)</calculatedColumnFormula>
    </tableColumn>
    <tableColumn id="3" xr3:uid="{445BB9DB-17F5-4598-8BC5-468F5C7FB967}" name="Last" dataDxfId="1149"/>
    <tableColumn id="4" xr3:uid="{C33BA27F-E5BD-4C0B-8709-5165CE890225}" name="First" dataDxfId="1148"/>
    <tableColumn id="5" xr3:uid="{F3CD49AF-1725-4D6B-B1D9-816BC0EA440C}" name="Team" dataDxfId="1147"/>
    <tableColumn id="6" xr3:uid="{B6A3F4EB-66D8-4F7D-A699-E2C553919F19}" name="Time" dataDxfId="1146"/>
    <tableColumn id="7" xr3:uid="{A4E2BC43-7B61-4EED-A767-D6972A447841}" name="Category" dataDxfId="1145"/>
    <tableColumn id="8" xr3:uid="{7B809767-F3BB-4A29-9FB1-25B50E676BCC}" name="Column1" dataDxfId="1144">
      <calculatedColumnFormula>COUNTIF(ValidTeams[],E135)</calculatedColumnFormula>
    </tableColumn>
  </tableColumns>
  <tableStyleInfo name="TableStyleLight8"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F20D1F87-19FA-4DEC-8019-442FB86D40D5}" name="Table15567595" displayName="Table15567595" ref="A158:H169" totalsRowShown="0" headerRowDxfId="1143" dataDxfId="1142" tableBorderDxfId="1141">
  <autoFilter ref="A158:H169" xr:uid="{C613AFCE-296E-4B0B-BEBE-924A468844E2}"/>
  <tableColumns count="8">
    <tableColumn id="1" xr3:uid="{0BFD9DF5-5A95-4E39-8042-9E8D3814BB17}" name="Place" dataDxfId="1140"/>
    <tableColumn id="2" xr3:uid="{F26BE3B6-2314-4B4D-B49C-0657AFA94D7D}" name="Points" dataDxfId="1139">
      <calculatedColumnFormula>IF(H159=1,MAX(21-A159,0),0)</calculatedColumnFormula>
    </tableColumn>
    <tableColumn id="3" xr3:uid="{3FA0F128-AA9E-4E68-988D-BA17C8A371ED}" name="Last" dataDxfId="1138"/>
    <tableColumn id="4" xr3:uid="{ABDF698B-CF8F-4DB9-A240-ACA4D73ED909}" name="First" dataDxfId="1137"/>
    <tableColumn id="5" xr3:uid="{D2377BFF-45DA-434B-9595-D21D4D95E8BE}" name="Team" dataDxfId="1136"/>
    <tableColumn id="6" xr3:uid="{9448723D-D94D-47FF-BA04-A5B796F45F9C}" name="Time" dataDxfId="1135"/>
    <tableColumn id="7" xr3:uid="{93EB8B31-2090-4BC3-B2A0-F091A6DF21F9}" name="Category" dataDxfId="1134"/>
    <tableColumn id="8" xr3:uid="{3E642964-2A2E-4BA7-9AC9-8EC9AFB701AE}" name="Column1" dataDxfId="1133">
      <calculatedColumnFormula>COUNTIF(ValidTeams[],E159)</calculatedColumnFormula>
    </tableColumn>
  </tableColumns>
  <tableStyleInfo name="TableStyleLight8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A0289CC6-9B07-4507-92CE-38F2418514B1}" name="Table16577696" displayName="Table16577696" ref="A171:H193" totalsRowShown="0" headerRowDxfId="1132" dataDxfId="1131" tableBorderDxfId="1130">
  <autoFilter ref="A171:H193" xr:uid="{633EC92F-01AA-4268-8AC0-ADD3DB9BC5E8}"/>
  <tableColumns count="8">
    <tableColumn id="1" xr3:uid="{13FA5E9D-1670-4929-A5AD-64932C2621B3}" name="Place" dataDxfId="1129"/>
    <tableColumn id="2" xr3:uid="{863E8FBF-3054-417F-8B06-DB41A6CBAA2B}" name="Points" dataDxfId="1128">
      <calculatedColumnFormula>IF(H172=1,MAX(21-A172,0),0)</calculatedColumnFormula>
    </tableColumn>
    <tableColumn id="3" xr3:uid="{6F64B13C-7B57-4D65-8456-8005A357C44B}" name="Last" dataDxfId="1127"/>
    <tableColumn id="4" xr3:uid="{A2471B3E-C3D1-4173-92EF-2F8AD6F6C913}" name="First" dataDxfId="1126"/>
    <tableColumn id="5" xr3:uid="{E34BDA4D-C09B-482A-91F5-03E55EF107DF}" name="Team" dataDxfId="1125"/>
    <tableColumn id="6" xr3:uid="{2B3F99E7-C73E-4203-88A1-577CAE0E2939}" name="Time" dataDxfId="1124"/>
    <tableColumn id="7" xr3:uid="{133534DA-FBB1-4173-A368-9127046F96E5}" name="Category" dataDxfId="1123"/>
    <tableColumn id="8" xr3:uid="{08AFDE6B-10A7-41FE-9F9D-B1102E4640F1}" name="Column1" dataDxfId="1122">
      <calculatedColumnFormula>COUNTIF(ValidTeams[],E172)</calculatedColumnFormula>
    </tableColumn>
  </tableColumns>
  <tableStyleInfo name="TableStyleLight8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DD378AF4-1886-42C6-9FEF-E997FD0F418D}" name="Table17587797" displayName="Table17587797" ref="A195:H200" totalsRowShown="0" headerRowDxfId="1121" dataDxfId="1120" tableBorderDxfId="1119">
  <autoFilter ref="A195:H200" xr:uid="{5B01C281-9700-4C4F-829B-AC07CD26C4E6}"/>
  <tableColumns count="8">
    <tableColumn id="1" xr3:uid="{1CA9D3DE-C7D4-4A6A-ACD8-934C20BB397B}" name="Place" dataDxfId="1118"/>
    <tableColumn id="2" xr3:uid="{6407F17B-304E-4040-95A5-2E64B492F033}" name="Points" dataDxfId="1117">
      <calculatedColumnFormula>IF(H196=1,MAX(21-A196,0),0)</calculatedColumnFormula>
    </tableColumn>
    <tableColumn id="3" xr3:uid="{D41429BA-8AAB-46F9-894D-ACFCD9EACF14}" name="Last" dataDxfId="1116"/>
    <tableColumn id="4" xr3:uid="{66DA51AB-492D-40C4-B336-ED4F55FCFAEE}" name="First" dataDxfId="1115"/>
    <tableColumn id="5" xr3:uid="{FAED5839-9014-4232-825E-D14047E5F69F}" name="Team" dataDxfId="1114"/>
    <tableColumn id="6" xr3:uid="{F0FC8099-B19F-4078-8949-FC00F78AA2A1}" name="Time" dataDxfId="1113"/>
    <tableColumn id="7" xr3:uid="{EC84E5D7-A069-4027-A28F-F502F4959721}" name="Category" dataDxfId="1112"/>
    <tableColumn id="8" xr3:uid="{ADEB5B7F-8611-4396-B6A3-06622A9C75C3}" name="Column1" dataDxfId="1111">
      <calculatedColumnFormula>COUNTIF(ValidTeams[],E196)</calculatedColumnFormula>
    </tableColumn>
  </tableColumns>
  <tableStyleInfo name="TableStyleLight8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5354F786-4EF3-46EF-92CB-AA4E989D599B}" name="Table20597898" displayName="Table20597898" ref="A202:H215" totalsRowShown="0" headerRowDxfId="1110" dataDxfId="1109" tableBorderDxfId="1108">
  <autoFilter ref="A202:H215" xr:uid="{DA1AAF35-E6EB-4EFD-A0FD-8BF58AF120BE}"/>
  <tableColumns count="8">
    <tableColumn id="1" xr3:uid="{C157FECE-6CCC-4797-B5B3-0F83F2DBC855}" name="Place" dataDxfId="1107"/>
    <tableColumn id="2" xr3:uid="{F4A640C0-D5F7-4372-8268-EECFAC8EAAA3}" name="Points" dataDxfId="1106">
      <calculatedColumnFormula>IF(H203=1,MAX(21-A203,0),0)</calculatedColumnFormula>
    </tableColumn>
    <tableColumn id="3" xr3:uid="{BDE45AFA-8115-47C9-8E22-7786EB986046}" name="Last" dataDxfId="1105"/>
    <tableColumn id="4" xr3:uid="{76BBAA7E-03E1-4CBB-BB98-516D18D5E5F2}" name="First" dataDxfId="1104"/>
    <tableColumn id="5" xr3:uid="{D843EA5C-0BC6-4DC3-B5CD-6156C978E2CF}" name="Team" dataDxfId="1103"/>
    <tableColumn id="6" xr3:uid="{8C966C12-D5FB-4567-AE3E-C0D6C97FDF3C}" name="Time" dataDxfId="1102"/>
    <tableColumn id="7" xr3:uid="{2D9A347F-89E3-46F4-B147-5FD7B46A6A93}" name="Category" dataDxfId="1101"/>
    <tableColumn id="8" xr3:uid="{6BAD1AFB-192D-40AD-918B-EFA267B0A26B}" name="Column1" dataDxfId="1100">
      <calculatedColumnFormula>COUNTIF(ValidTeams[],E203)</calculatedColumnFormula>
    </tableColumn>
  </tableColumns>
  <tableStyleInfo name="TableStyleLight8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D5C68CD6-14BD-49C2-9B2C-20E07114DD2D}" name="Table21607999" displayName="Table21607999" ref="A217:H225" totalsRowShown="0" headerRowDxfId="1099" dataDxfId="1098" tableBorderDxfId="1097">
  <autoFilter ref="A217:H225" xr:uid="{9D8B37F4-8CF3-43C5-9AB4-D32258C99D79}"/>
  <tableColumns count="8">
    <tableColumn id="1" xr3:uid="{68D26DF2-E722-4EC8-B91E-023CF19F3BA2}" name="Place" dataDxfId="1096"/>
    <tableColumn id="2" xr3:uid="{BAF9D2C1-6B8E-415A-8283-DAA7271C1F6E}" name="Points" dataDxfId="1095">
      <calculatedColumnFormula>IF(H218=1,MAX(21-A218,0),0)</calculatedColumnFormula>
    </tableColumn>
    <tableColumn id="3" xr3:uid="{57AC9773-F0CD-4CE3-B41B-860FFFF63D74}" name="Last" dataDxfId="1094"/>
    <tableColumn id="4" xr3:uid="{F89AD73C-CC5D-4980-8867-953C80B291E9}" name="First" dataDxfId="1093"/>
    <tableColumn id="5" xr3:uid="{BBED79A3-67AC-4ADF-BBD2-C440A61B92AD}" name="Team" dataDxfId="1092"/>
    <tableColumn id="6" xr3:uid="{3D0C4072-C8A4-42CC-AD48-88E9687FD99B}" name="Time" dataDxfId="1091"/>
    <tableColumn id="7" xr3:uid="{27F01D18-6A78-4C9A-AA93-E9D04B1F0EC8}" name="Category" dataDxfId="1090"/>
    <tableColumn id="8" xr3:uid="{8D375E24-F11A-4D8A-93CB-6B2B7878D0CA}" name="Column1" dataDxfId="1089">
      <calculatedColumnFormula>COUNTIF(ValidTeams[],E218)</calculatedColumnFormula>
    </tableColumn>
  </tableColumns>
  <tableStyleInfo name="TableStyleLight8"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F0D4E848-678F-402E-B1ED-6C29BC560001}" name="Table1196181100" displayName="Table1196181100" ref="A1:H23" totalsRowShown="0">
  <autoFilter ref="A1:H23" xr:uid="{2BE81515-F432-403B-B177-0191F3B6EF4A}"/>
  <tableColumns count="8">
    <tableColumn id="1" xr3:uid="{4089305E-16E7-4BD4-88BD-CC568B4F8347}" name="Place"/>
    <tableColumn id="7" xr3:uid="{DC7686E8-EBFC-4176-836C-CDE803FF9DC3}" name="Points" dataDxfId="1086">
      <calculatedColumnFormula>IF(H2=1,MAX(21-A2,0),0)</calculatedColumnFormula>
    </tableColumn>
    <tableColumn id="2" xr3:uid="{1CBA70CD-D026-4543-BA72-C5811ED4011C}" name="Last"/>
    <tableColumn id="3" xr3:uid="{D36786A7-CE53-4639-A628-59AF7878F01E}" name="First"/>
    <tableColumn id="4" xr3:uid="{257EE0E6-5C89-4BF2-A0BA-44527B41F11F}" name="Team"/>
    <tableColumn id="5" xr3:uid="{9A89FA1E-5A9E-4452-A1C7-A7CF95E4574A}" name="Time" dataDxfId="1085"/>
    <tableColumn id="6" xr3:uid="{F4CDDD51-A6C2-4F1D-BCF5-9C4B8E1D25CF}" name="Category"/>
    <tableColumn id="8" xr3:uid="{F2698AEA-2D8B-4264-B3D5-E6CB55221F02}" name="Valid" dataDxfId="1084">
      <calculatedColumnFormula>COUNTIF(ValidTeams[],E2)</calculatedColumnFormula>
    </tableColumn>
  </tableColumns>
  <tableStyleInfo name="TableStyleLight8"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901A17EC-03CD-402F-9B09-9A2E7E0228C1}" name="Table2206282101" displayName="Table2206282101" ref="A25:H37" totalsRowShown="0">
  <autoFilter ref="A25:H37" xr:uid="{C25A9C4A-FB27-47B1-9547-9602F89B7537}"/>
  <tableColumns count="8">
    <tableColumn id="1" xr3:uid="{D2298550-6ABD-4B20-9869-3C9ABC09F852}" name="Place"/>
    <tableColumn id="7" xr3:uid="{AA6EFAB7-851A-4C56-B61E-D7CF87F539F8}" name="Points" dataDxfId="1083">
      <calculatedColumnFormula>IF(H26=1,MAX(21-A26,0),0)</calculatedColumnFormula>
    </tableColumn>
    <tableColumn id="2" xr3:uid="{31E146C2-E8D2-408B-BEB5-4F628981FD31}" name="Last"/>
    <tableColumn id="3" xr3:uid="{8E0FCD8A-FACF-4AB3-B7D7-493ECD52DE19}" name="First"/>
    <tableColumn id="4" xr3:uid="{2A24C000-A249-4DE5-AD8F-9A4168C0EBA9}" name="Team"/>
    <tableColumn id="5" xr3:uid="{AF792895-949D-464E-A154-5F7C028BCFD8}" name="Time" dataDxfId="1082"/>
    <tableColumn id="6" xr3:uid="{C64F1990-78A3-4BAC-9DC0-DB02EF36AE7E}" name="Category"/>
    <tableColumn id="8" xr3:uid="{21E680E5-6E16-44E5-A297-7B86E2C8FA45}" name="Column1" dataDxfId="1081">
      <calculatedColumnFormula>COUNTIF(ValidTeams[],E26)</calculatedColumnFormula>
    </tableColumn>
  </tableColumns>
  <tableStyleInfo name="TableStyleLight8"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8BE1DB9C-8163-457D-AB8A-770D844AA183}" name="Table3446383102" displayName="Table3446383102" ref="A39:G45" totalsRowShown="0">
  <autoFilter ref="A39:G45" xr:uid="{B49FE676-3971-4254-B3CE-8A0E8A4B0CB6}"/>
  <tableColumns count="7">
    <tableColumn id="1" xr3:uid="{FB49EE1A-A7D9-4A10-80EC-0889842CF4F6}" name="Place"/>
    <tableColumn id="2" xr3:uid="{A86F3BE6-D68E-49AC-A0CC-97BC9AB059F3}" name="Points"/>
    <tableColumn id="3" xr3:uid="{C7AB0FFB-E674-4041-9228-88B89E0A4F24}" name="Last"/>
    <tableColumn id="4" xr3:uid="{D32D47F6-769A-496C-94A9-ED59DB3A6BAA}" name="First"/>
    <tableColumn id="5" xr3:uid="{04CD0C4A-F62F-4D69-B5B7-EC8FE413E889}" name="Team" dataDxfId="1080"/>
    <tableColumn id="6" xr3:uid="{E33F9597-6B46-4AEC-B5F0-5F6164DCB136}" name="Time" dataDxfId="1079"/>
    <tableColumn id="7" xr3:uid="{2B61891B-5D0A-4659-8408-19A118A1DEA0}" name="Category"/>
  </tableColumns>
  <tableStyleInfo name="TableStyleLight8"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B63D8E7D-1438-4E50-945A-A6594D15D67C}" name="Table4456484103" displayName="Table4456484103" ref="A47:G50" totalsRowShown="0" headerRowDxfId="1078" dataDxfId="1077" tableBorderDxfId="1076">
  <autoFilter ref="A47:G50" xr:uid="{7EF120C7-4833-43B1-A932-0A569965E78A}"/>
  <tableColumns count="7">
    <tableColumn id="1" xr3:uid="{1D229EF2-3ACA-4CBD-8B3A-F0EFBD1E223B}" name="Place" dataDxfId="1075"/>
    <tableColumn id="2" xr3:uid="{51011078-5E10-4F9A-9EBF-33507784EBF9}" name="Points" dataDxfId="1074"/>
    <tableColumn id="3" xr3:uid="{66BB7E74-C615-4E0B-B919-1157CECFEE3B}" name="Last" dataDxfId="1073"/>
    <tableColumn id="4" xr3:uid="{CAC007FE-EC88-4E3C-94ED-83C4C639B18A}" name="First" dataDxfId="1072"/>
    <tableColumn id="5" xr3:uid="{1E1DA1A5-35D3-4A23-9232-61F5790C0A77}" name="Team" dataDxfId="1071"/>
    <tableColumn id="6" xr3:uid="{814A0606-871F-45A2-A9AE-C5600760E486}" name="Time" dataDxfId="1070"/>
    <tableColumn id="7" xr3:uid="{D4D9D429-B6B4-4657-9B7C-CA267201FE2C}" name="Category" dataDxfId="1069"/>
  </tableColumns>
  <tableStyleInfo name="TableStyleLight8"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7053A84D-4081-4388-AEC9-6E4C6CA99ACC}" name="Table5466585104" displayName="Table5466585104" ref="A52:G55" totalsRowShown="0" headerRowDxfId="1068" dataDxfId="1067" tableBorderDxfId="1066">
  <autoFilter ref="A52:G55" xr:uid="{45671861-392C-46D5-8949-81D3A5BB3FB1}"/>
  <tableColumns count="7">
    <tableColumn id="1" xr3:uid="{0EDAF429-F6FD-4EC9-98D7-F84B0D5A4E1F}" name="Place" dataDxfId="1065"/>
    <tableColumn id="2" xr3:uid="{4B542B52-FC72-4EA4-9CFC-92D2A2C9D051}" name="Points" dataDxfId="1064"/>
    <tableColumn id="3" xr3:uid="{2DC16D6F-CBD2-4FAD-9127-90AD0A759396}" name="Last" dataDxfId="1063"/>
    <tableColumn id="4" xr3:uid="{A9063BA4-F791-4BB6-9959-961EDDDE3FB9}" name="First" dataDxfId="1062"/>
    <tableColumn id="5" xr3:uid="{F9ED91A8-49C8-417B-B7C4-0DA182145192}" name="Team" dataDxfId="1061"/>
    <tableColumn id="6" xr3:uid="{53DD0CFE-4F49-40FC-8060-8488056FF108}" name="Time" dataDxfId="1060"/>
    <tableColumn id="7" xr3:uid="{8E4F94B1-0EC7-41F6-88EB-61A69FBAD4AD}" name="Category" dataDxfId="1059"/>
  </tableColumns>
  <tableStyleInfo name="TableStyleLight8"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3A31DEFB-983F-4E89-B9BB-223291B0B8DD}" name="Table6476686105" displayName="Table6476686105" ref="A57:G58" totalsRowShown="0" headerRowDxfId="1058" dataDxfId="1057" tableBorderDxfId="1056">
  <autoFilter ref="A57:G58" xr:uid="{DD4C0487-3C1D-48CE-889D-00B3DCBBD5DC}"/>
  <tableColumns count="7">
    <tableColumn id="1" xr3:uid="{086FED74-9974-4176-883D-9B6E7093C2CB}" name="Place" dataDxfId="1055"/>
    <tableColumn id="2" xr3:uid="{8A020135-4729-4582-A2A1-2EC655404C9B}" name="Points" dataDxfId="1054"/>
    <tableColumn id="3" xr3:uid="{17679AF8-35AB-40C0-AC29-8E029FFD4D90}" name="Last" dataDxfId="1053"/>
    <tableColumn id="4" xr3:uid="{31F65380-4B34-45F7-B3E3-C8EEBCFCF8E0}" name="First" dataDxfId="1052"/>
    <tableColumn id="5" xr3:uid="{4CEAD5A8-6584-453F-BB00-1F29FAD65F2A}" name="Team" dataDxfId="1051"/>
    <tableColumn id="6" xr3:uid="{C1AA0E1F-9236-426C-AC3B-E91D062D6A8A}" name="Time" dataDxfId="1050"/>
    <tableColumn id="7" xr3:uid="{022E2C33-DE40-4F09-8D09-6FC1D5A0BD31}" name="Category" dataDxfId="1049"/>
  </tableColumns>
  <tableStyleInfo name="TableStyleLight8"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9D89453A-6BAE-4320-899B-F5B20B93A047}" name="Table7486787106" displayName="Table7486787106" ref="A60:G62" totalsRowShown="0" headerRowDxfId="1048" dataDxfId="1047" tableBorderDxfId="1046">
  <autoFilter ref="A60:G62" xr:uid="{AFB287A9-7DDA-476C-B93D-7F22CBF72CDB}"/>
  <tableColumns count="7">
    <tableColumn id="1" xr3:uid="{7C876D3F-9B30-4251-9B67-F5B21BE4E9EF}" name="Place" dataDxfId="1045"/>
    <tableColumn id="2" xr3:uid="{9D1BAD46-6CE7-4823-8E9B-5C0915B14B39}" name="Points" dataDxfId="1044"/>
    <tableColumn id="3" xr3:uid="{AB5F62ED-7169-4544-9AD4-BF9DC40B94AC}" name="Last" dataDxfId="1043"/>
    <tableColumn id="4" xr3:uid="{0F913C0B-E565-4F9B-8865-B7C3EFDE9D78}" name="First" dataDxfId="1042"/>
    <tableColumn id="5" xr3:uid="{AE4AC42D-A0A1-4B2D-AA81-E5ECDBE10882}" name="Team" dataDxfId="1041"/>
    <tableColumn id="6" xr3:uid="{DA8B8D5C-ACDA-4B88-AB6F-55C2E5EDD95A}" name="Time" dataDxfId="1040"/>
    <tableColumn id="7" xr3:uid="{E81F0FE0-C4B0-4822-AF03-97C733BE1D9A}" name="Category" dataDxfId="1039"/>
  </tableColumns>
  <tableStyleInfo name="TableStyleLight8" showFirstColumn="0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6E7F9D59-06EE-43D1-93C0-8E06E9B757B2}" name="Table8496888107" displayName="Table8496888107" ref="A64:G65" totalsRowShown="0" headerRowDxfId="1038" dataDxfId="1037" tableBorderDxfId="1036">
  <autoFilter ref="A64:G65" xr:uid="{327265BE-D992-426A-B3AB-F69BDF1C9F11}"/>
  <tableColumns count="7">
    <tableColumn id="1" xr3:uid="{A19DD9B2-BAD5-4277-B3BC-A49D7020DED4}" name="Place" dataDxfId="1035"/>
    <tableColumn id="2" xr3:uid="{9010764B-9EDD-466F-892C-CF865A68E26A}" name="Points" dataDxfId="1034"/>
    <tableColumn id="3" xr3:uid="{0DDB5C92-1E3C-4A80-AEF5-3145BC269401}" name="Last" dataDxfId="1033"/>
    <tableColumn id="4" xr3:uid="{D451B195-8448-4638-934E-74B3AB5BA2FE}" name="First" dataDxfId="1032"/>
    <tableColumn id="5" xr3:uid="{CFF92924-FB93-4F6C-91C2-0E6C8B86A46D}" name="Team" dataDxfId="1031"/>
    <tableColumn id="6" xr3:uid="{9FE00110-C445-42F4-8493-4C9DE2B5C2DA}" name="Time" dataDxfId="1030"/>
    <tableColumn id="7" xr3:uid="{D921CC75-0A67-4046-85D3-B324C51CA458}" name="Category" dataDxfId="1029"/>
  </tableColumns>
  <tableStyleInfo name="TableStyleLight8" showFirstColumn="0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5224CB8A-4802-4886-BBC6-947AE3C7A2E6}" name="Table9506989108" displayName="Table9506989108" ref="A67:H75" totalsRowShown="0" headerRowDxfId="1028" dataDxfId="1027" tableBorderDxfId="1026">
  <autoFilter ref="A67:H75" xr:uid="{DEE8DB81-02A0-4B3D-955D-BF6B08106958}"/>
  <tableColumns count="8">
    <tableColumn id="1" xr3:uid="{2F147306-F081-4F27-9B4C-8514B73EEFC7}" name="Place" dataDxfId="1025"/>
    <tableColumn id="2" xr3:uid="{D0753508-40F6-4200-84F9-EAA9C61FF62B}" name="Points" dataDxfId="1024">
      <calculatedColumnFormula>IF(H68=1,MAX(21-A68,0),0)</calculatedColumnFormula>
    </tableColumn>
    <tableColumn id="3" xr3:uid="{2B3D9844-7E03-49DA-B090-23000127B1C6}" name="Last" dataDxfId="1023"/>
    <tableColumn id="4" xr3:uid="{F7DBDE4B-03F5-4B33-B727-8A7E2358D85D}" name="First" dataDxfId="1022"/>
    <tableColumn id="5" xr3:uid="{C8F431EC-53DF-4F4C-AFAC-7E58650D99B1}" name="Team" dataDxfId="1021"/>
    <tableColumn id="6" xr3:uid="{CDBF7DF4-2D85-4AF7-AA2E-9EBF0D4D3052}" name="Time" dataDxfId="1020"/>
    <tableColumn id="7" xr3:uid="{EEF661DD-45E8-4281-A3DD-F3231FB62444}" name="Category" dataDxfId="1019"/>
    <tableColumn id="8" xr3:uid="{70CA1885-5CA0-4968-BDF8-F83D85D41141}" name="Column1" dataDxfId="1018">
      <calculatedColumnFormula>COUNTIF(ValidTeams[],E68)</calculatedColumnFormula>
    </tableColumn>
  </tableColumns>
  <tableStyleInfo name="TableStyleLight8" showFirstColumn="0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7E1D0506-5F43-4A3D-9C8F-0DD52AB22420}" name="Table10517090109" displayName="Table10517090109" ref="A77:H87" totalsRowShown="0" headerRowDxfId="1017" dataDxfId="1016" tableBorderDxfId="1015">
  <autoFilter ref="A77:H87" xr:uid="{D94FE680-30EE-468C-B0C7-D95D6D58BE3A}"/>
  <tableColumns count="8">
    <tableColumn id="1" xr3:uid="{B4B76E76-E082-4202-8321-A08625FAE8DE}" name="Place" dataDxfId="1014"/>
    <tableColumn id="2" xr3:uid="{8ECE852A-D4D7-476B-AA7A-B7C6ECFBA260}" name="Points" dataDxfId="1013">
      <calculatedColumnFormula>IF(H78=1,MAX(21-A78,0),0)</calculatedColumnFormula>
    </tableColumn>
    <tableColumn id="3" xr3:uid="{0B986606-DA9A-485B-9EB8-979D1690293D}" name="Last" dataDxfId="1012"/>
    <tableColumn id="4" xr3:uid="{232DA3A9-142A-45B8-A3F2-36965312282F}" name="First" dataDxfId="1011"/>
    <tableColumn id="5" xr3:uid="{FA6E623B-833E-4519-9A16-017248D2772A}" name="Team" dataDxfId="1010"/>
    <tableColumn id="6" xr3:uid="{A52890CB-A933-4C3D-A9EA-8A1393BD1E8F}" name="Time" dataDxfId="1009"/>
    <tableColumn id="7" xr3:uid="{4515E50D-4F22-47AE-A358-8BB15ADC056A}" name="Category" dataDxfId="1008"/>
    <tableColumn id="8" xr3:uid="{5F2C0339-C94B-4197-8616-877E0F6F049E}" name="Column1" dataDxfId="1007">
      <calculatedColumnFormula>COUNTIF(ValidTeams[],E78)</calculatedColumnFormula>
    </tableColumn>
  </tableColumns>
  <tableStyleInfo name="TableStyleLight8"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4B4C2545-63D8-4A53-B6A3-E716B1A2B97E}" name="Table11527191110" displayName="Table11527191110" ref="A89:H102" totalsRowShown="0" headerRowDxfId="1006" dataDxfId="1005" tableBorderDxfId="1004">
  <autoFilter ref="A89:H102" xr:uid="{8DB3CF6A-DE15-42E5-9DE4-8E377BFEF7FB}"/>
  <tableColumns count="8">
    <tableColumn id="1" xr3:uid="{B817D119-7422-4E53-8BE8-BC31ECF797D0}" name="Place" dataDxfId="1003"/>
    <tableColumn id="2" xr3:uid="{C19D79C9-F6FB-402C-9395-124B87822DD0}" name="Points" dataDxfId="1002">
      <calculatedColumnFormula>IF(H90=1,MAX(21-A90,0),0)</calculatedColumnFormula>
    </tableColumn>
    <tableColumn id="3" xr3:uid="{303ED622-3589-4449-9EBE-55F4D982E148}" name="Last" dataDxfId="1001"/>
    <tableColumn id="4" xr3:uid="{6FA438BA-4E44-4A45-A1D7-2B0D593EE8B8}" name="First" dataDxfId="1000"/>
    <tableColumn id="5" xr3:uid="{712B03F4-D594-4489-9D7B-21C33393B27B}" name="Team" dataDxfId="999"/>
    <tableColumn id="6" xr3:uid="{73118CAD-6157-4152-891E-165DCDA041F2}" name="Time" dataDxfId="998"/>
    <tableColumn id="7" xr3:uid="{C9C14B21-80C8-4A67-AB98-015A759BA87F}" name="Category" dataDxfId="997"/>
    <tableColumn id="8" xr3:uid="{F147D1EA-3A73-4548-9CB5-B91F01BB62C5}" name="Column1" dataDxfId="996">
      <calculatedColumnFormula>COUNTIF(ValidTeams[],E90)</calculatedColumnFormula>
    </tableColumn>
  </tableColumns>
  <tableStyleInfo name="TableStyleLight8"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A556CE2A-AE24-496B-BA56-333B370FB9DC}" name="Table12537292111" displayName="Table12537292111" ref="A104:H117" totalsRowShown="0" headerRowDxfId="995" dataDxfId="994" tableBorderDxfId="993">
  <autoFilter ref="A104:H117" xr:uid="{11C18E5B-2665-42D7-868D-9FA168F847E1}"/>
  <tableColumns count="8">
    <tableColumn id="1" xr3:uid="{BFD13F39-505C-4D7C-8198-10D669D19AE9}" name="Place" dataDxfId="992"/>
    <tableColumn id="2" xr3:uid="{CDC845A7-8968-4E41-8741-6FBEEDF173BA}" name="Points" dataDxfId="991">
      <calculatedColumnFormula>IF(H105=1,MAX(21-A105,0),0)</calculatedColumnFormula>
    </tableColumn>
    <tableColumn id="3" xr3:uid="{EB3468A8-3612-4300-927B-14EE3498F003}" name="Last" dataDxfId="990"/>
    <tableColumn id="4" xr3:uid="{BF4F1A34-E192-4912-93F7-E929A4925DE2}" name="First" dataDxfId="989"/>
    <tableColumn id="5" xr3:uid="{620BA728-F733-4CBC-A37A-50494A25C456}" name="Team" dataDxfId="988"/>
    <tableColumn id="6" xr3:uid="{F51A0F1F-5A4F-4659-AF8D-9526AE00DF98}" name="Time" dataDxfId="987"/>
    <tableColumn id="7" xr3:uid="{6F04F34F-82B0-45A7-9B1B-452C1C9A7FD1}" name="Category" dataDxfId="986"/>
    <tableColumn id="8" xr3:uid="{B79F9E53-7BBD-4240-9E9E-426928513816}" name="Column1" dataDxfId="985">
      <calculatedColumnFormula>COUNTIF(ValidTeams[],E105)</calculatedColumnFormula>
    </tableColumn>
  </tableColumns>
  <tableStyleInfo name="TableStyleLight8" showFirstColumn="0" showLastColumn="0" showRowStripes="1" showColumnStripes="0"/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2D8947A6-04D5-4B60-BED4-4C5345089A8E}" name="Table13547393112" displayName="Table13547393112" ref="A119:H128" totalsRowShown="0" headerRowDxfId="984" dataDxfId="983" tableBorderDxfId="982">
  <autoFilter ref="A119:H128" xr:uid="{5C62EA4D-B4AF-459A-9C78-1DDC91C11162}"/>
  <tableColumns count="8">
    <tableColumn id="1" xr3:uid="{A4FB20CB-A606-4981-B56B-138D2C8C8FE2}" name="Place" dataDxfId="981"/>
    <tableColumn id="2" xr3:uid="{FCABDCCA-E7DB-4FB6-A372-D741B186D050}" name="Points" dataDxfId="980">
      <calculatedColumnFormula>IF(H120=1,MAX(21-A120,0),0)</calculatedColumnFormula>
    </tableColumn>
    <tableColumn id="3" xr3:uid="{0B4F3386-8FA1-4FDC-B31A-07D1AAB60D1D}" name="Last" dataDxfId="979"/>
    <tableColumn id="4" xr3:uid="{966D60CF-AA28-471C-BE6C-B8B92BA77D49}" name="First" dataDxfId="978"/>
    <tableColumn id="5" xr3:uid="{5103CF48-BA59-4417-BCFA-10B71A299644}" name="Team" dataDxfId="977"/>
    <tableColumn id="6" xr3:uid="{2220C24C-15C1-444E-A9B8-71E738329F7F}" name="Time" dataDxfId="976"/>
    <tableColumn id="7" xr3:uid="{CFB52388-A83F-4E9D-B14F-1E5B0F0C199E}" name="Category" dataDxfId="975"/>
    <tableColumn id="8" xr3:uid="{68527887-895E-4D3A-839A-30E0308331DC}" name="Column1" dataDxfId="974">
      <calculatedColumnFormula>COUNTIF(ValidTeams[],E120)</calculatedColumnFormula>
    </tableColumn>
  </tableColumns>
  <tableStyleInfo name="TableStyleLight8" showFirstColumn="0" showLastColumn="0" showRowStripes="1" showColumnStripes="0"/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7ED772BF-0032-4DA2-B881-6D7B36718EE5}" name="Table14557494113" displayName="Table14557494113" ref="A130:H152" totalsRowShown="0" headerRowDxfId="973" dataDxfId="972" tableBorderDxfId="971">
  <autoFilter ref="A130:H152" xr:uid="{26DCB4CA-2DE7-4A48-9E63-A3B293850C38}"/>
  <tableColumns count="8">
    <tableColumn id="1" xr3:uid="{17872E9B-3B8A-458F-A0B6-329B6B51ADEF}" name="Place" dataDxfId="970"/>
    <tableColumn id="2" xr3:uid="{EAA6C29E-21C1-4C94-B805-4BC2A3A13C53}" name="Points" dataDxfId="969">
      <calculatedColumnFormula>IF(H131=1,MAX(21-A131,0),0)</calculatedColumnFormula>
    </tableColumn>
    <tableColumn id="3" xr3:uid="{F9E98CFE-D25D-4DFD-9C3D-13CF4CBC13E9}" name="Last" dataDxfId="968"/>
    <tableColumn id="4" xr3:uid="{667D9CC4-89EE-462A-9C21-08AC49BE4ABD}" name="First" dataDxfId="967"/>
    <tableColumn id="5" xr3:uid="{5C8DB99D-7841-4735-8758-6A4C1C00D105}" name="Team" dataDxfId="966"/>
    <tableColumn id="6" xr3:uid="{B58D8AE6-6C16-453D-A2A9-8B1A570D6748}" name="Time" dataDxfId="965"/>
    <tableColumn id="7" xr3:uid="{D6A3751B-2D9E-4DD4-9B7B-02C11A9A8C81}" name="Category" dataDxfId="964"/>
    <tableColumn id="8" xr3:uid="{E9744522-5EAA-4737-95DB-569C1A6E0C0D}" name="Column1" dataDxfId="963">
      <calculatedColumnFormula>COUNTIF(ValidTeams[],E131)</calculatedColumnFormula>
    </tableColumn>
  </tableColumns>
  <tableStyleInfo name="TableStyleLight8" showFirstColumn="0" showLastColumn="0" showRowStripes="1" showColumnStripes="0"/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38E6920B-C58E-4BC3-BED6-79AE89A760B2}" name="Table15567595114" displayName="Table15567595114" ref="A154:H165" totalsRowShown="0" headerRowDxfId="962" dataDxfId="961" tableBorderDxfId="960">
  <autoFilter ref="A154:H165" xr:uid="{C613AFCE-296E-4B0B-BEBE-924A468844E2}"/>
  <tableColumns count="8">
    <tableColumn id="1" xr3:uid="{24376A6B-E73B-44DE-85C9-CFC2020625C0}" name="Place" dataDxfId="959"/>
    <tableColumn id="2" xr3:uid="{5B028B09-155B-46FD-A48E-41B30EC108D5}" name="Points" dataDxfId="958">
      <calculatedColumnFormula>IF(H155=1,MAX(21-A155,0),0)</calculatedColumnFormula>
    </tableColumn>
    <tableColumn id="3" xr3:uid="{15FEE7B7-A33F-4EFD-ACA7-D7BB9DAE55DC}" name="Last" dataDxfId="957"/>
    <tableColumn id="4" xr3:uid="{18F55CB3-2CBC-41E2-B7B7-0445F6BF229B}" name="First" dataDxfId="956"/>
    <tableColumn id="5" xr3:uid="{081735C7-3C14-410A-A0BC-65D8E93DD3D2}" name="Team" dataDxfId="955"/>
    <tableColumn id="6" xr3:uid="{9C241542-1FFD-443E-87E6-E531A3D958FC}" name="Time" dataDxfId="954"/>
    <tableColumn id="7" xr3:uid="{563FA340-9CDF-4C87-97EF-D3F1E6FCF10E}" name="Category" dataDxfId="953"/>
    <tableColumn id="8" xr3:uid="{FC21F556-944B-448E-96CA-8871F9AC031C}" name="Column1" dataDxfId="952">
      <calculatedColumnFormula>COUNTIF(ValidTeams[],E155)</calculatedColumnFormula>
    </tableColumn>
  </tableColumns>
  <tableStyleInfo name="TableStyleLight8" showFirstColumn="0" showLastColumn="0" showRowStripes="1" showColumnStripes="0"/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463815D2-1DD2-48C7-B108-DBDCB5F26320}" name="Table16577696115" displayName="Table16577696115" ref="A167:H189" totalsRowShown="0" headerRowDxfId="951" dataDxfId="950" tableBorderDxfId="949">
  <autoFilter ref="A167:H189" xr:uid="{633EC92F-01AA-4268-8AC0-ADD3DB9BC5E8}"/>
  <tableColumns count="8">
    <tableColumn id="1" xr3:uid="{432E19A5-4AAB-4C3D-AB41-ED4F86F9EEC5}" name="Place" dataDxfId="948"/>
    <tableColumn id="2" xr3:uid="{01014AE3-7A93-49BF-9946-2C95670496EB}" name="Points" dataDxfId="947">
      <calculatedColumnFormula>IF(H168=1,MAX(21-A168,0),0)</calculatedColumnFormula>
    </tableColumn>
    <tableColumn id="3" xr3:uid="{7897445C-4741-4FDE-802A-8765088D5B15}" name="Last" dataDxfId="946"/>
    <tableColumn id="4" xr3:uid="{DAD476EC-CE2E-4971-8D3B-C95CCCEC28E1}" name="First" dataDxfId="945"/>
    <tableColumn id="5" xr3:uid="{B201752A-F1F6-470D-9AED-E90A1D029470}" name="Team" dataDxfId="944"/>
    <tableColumn id="6" xr3:uid="{42209D08-3395-484D-A7B5-C36363CB296B}" name="Time" dataDxfId="943"/>
    <tableColumn id="7" xr3:uid="{855D761C-8276-4F9F-9404-67439107B80C}" name="Category" dataDxfId="942"/>
    <tableColumn id="8" xr3:uid="{CE718803-9FD1-4278-80A1-2EC311984433}" name="Column1" dataDxfId="941">
      <calculatedColumnFormula>COUNTIF(ValidTeams[],E168)</calculatedColumnFormula>
    </tableColumn>
  </tableColumns>
  <tableStyleInfo name="TableStyleLight8" showFirstColumn="0" showLastColumn="0" showRowStripes="1" showColumnStripes="0"/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C62F63EA-3D47-4862-9BE1-E273B5D61083}" name="Table17587797116" displayName="Table17587797116" ref="A191:H199" totalsRowShown="0" headerRowDxfId="940" dataDxfId="939" tableBorderDxfId="938">
  <autoFilter ref="A191:H199" xr:uid="{5B01C281-9700-4C4F-829B-AC07CD26C4E6}"/>
  <tableColumns count="8">
    <tableColumn id="1" xr3:uid="{3F31A801-13FC-4925-81D4-72D7309C3280}" name="Place" dataDxfId="937"/>
    <tableColumn id="2" xr3:uid="{4F82D72C-096F-4B33-8F97-7455ADA45609}" name="Points" dataDxfId="936">
      <calculatedColumnFormula>IF(H192=1,MAX(21-A192,0),0)</calculatedColumnFormula>
    </tableColumn>
    <tableColumn id="3" xr3:uid="{5F1F3A32-F894-4471-8318-2DD5928C65EA}" name="Last" dataDxfId="935"/>
    <tableColumn id="4" xr3:uid="{19CA1111-E520-436A-86EF-7491CCEE1411}" name="First" dataDxfId="934"/>
    <tableColumn id="5" xr3:uid="{1F960C29-902A-44FE-8137-00FDBDD1ECBA}" name="Team" dataDxfId="933"/>
    <tableColumn id="6" xr3:uid="{0DE978F8-251F-4CF4-BBFF-FDB5780FFDDA}" name="Time" dataDxfId="932"/>
    <tableColumn id="7" xr3:uid="{A06F510E-8711-487E-A7B0-E39CAFD97018}" name="Category" dataDxfId="931"/>
    <tableColumn id="8" xr3:uid="{6D8761FF-EE61-4AA0-957F-3748A54E3311}" name="Column1" dataDxfId="930">
      <calculatedColumnFormula>COUNTIF(ValidTeams[],E192)</calculatedColumnFormula>
    </tableColumn>
  </tableColumns>
  <tableStyleInfo name="TableStyleLight8" showFirstColumn="0" showLastColumn="0" showRowStripes="1" showColumnStripes="0"/>
</table>
</file>

<file path=xl/tables/table1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7359B8AF-AD9F-4C57-A549-18BFD6A3B7BC}" name="Table20597898117" displayName="Table20597898117" ref="A201:H214" totalsRowShown="0" headerRowDxfId="929" dataDxfId="928" tableBorderDxfId="927">
  <autoFilter ref="A201:H214" xr:uid="{DA1AAF35-E6EB-4EFD-A0FD-8BF58AF120BE}"/>
  <tableColumns count="8">
    <tableColumn id="1" xr3:uid="{55DE93A9-E779-490C-842C-2B7B7A72F6CA}" name="Place" dataDxfId="926"/>
    <tableColumn id="2" xr3:uid="{DCEA0201-9067-4E18-B473-62C0B547DAAB}" name="Points" dataDxfId="925">
      <calculatedColumnFormula>IF(H202=1,MAX(21-A202,0),0)</calculatedColumnFormula>
    </tableColumn>
    <tableColumn id="3" xr3:uid="{B1BFD378-DEB3-471E-8EEC-3E4CC98ED8BB}" name="Last" dataDxfId="924"/>
    <tableColumn id="4" xr3:uid="{85AAC46E-5139-430D-9ACF-6918FE4DF3C0}" name="First" dataDxfId="923"/>
    <tableColumn id="5" xr3:uid="{33FD916F-90CC-488D-A72E-61D96CE31A5B}" name="Team" dataDxfId="922"/>
    <tableColumn id="6" xr3:uid="{7D88D2C4-D33C-4B64-86F8-2A3AB095A06D}" name="Time" dataDxfId="921"/>
    <tableColumn id="7" xr3:uid="{09751FF7-A6D8-4788-A26E-3C8CE73BBCEB}" name="Category" dataDxfId="920"/>
    <tableColumn id="8" xr3:uid="{75A0FDB5-76C3-4714-A5F9-898FAACE40A5}" name="Column1" dataDxfId="919">
      <calculatedColumnFormula>COUNTIF(ValidTeams[],E202)</calculatedColumnFormula>
    </tableColumn>
  </tableColumns>
  <tableStyleInfo name="TableStyleLight8" showFirstColumn="0" showLastColumn="0" showRowStripes="1" showColumnStripes="0"/>
</table>
</file>

<file path=xl/tables/table1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7F2840F4-B837-4068-831D-4C61D6681446}" name="Table21607999118" displayName="Table21607999118" ref="A216:H225" totalsRowShown="0" headerRowDxfId="918" dataDxfId="917" tableBorderDxfId="916">
  <autoFilter ref="A216:H225" xr:uid="{9D8B37F4-8CF3-43C5-9AB4-D32258C99D79}"/>
  <tableColumns count="8">
    <tableColumn id="1" xr3:uid="{00FC52E4-3463-43C5-B2D9-37A633626C05}" name="Place" dataDxfId="915"/>
    <tableColumn id="2" xr3:uid="{F2DB3644-666B-409F-BB04-CC726D39F8C9}" name="Points" dataDxfId="914">
      <calculatedColumnFormula>IF(H217=1,MAX(21-A217,0),0)</calculatedColumnFormula>
    </tableColumn>
    <tableColumn id="3" xr3:uid="{B0FA84B6-54F7-48FE-AB59-B444346506ED}" name="Last" dataDxfId="913"/>
    <tableColumn id="4" xr3:uid="{5E25FD2B-6FA5-4EDC-9D2F-C3E1DC56B48C}" name="First" dataDxfId="912"/>
    <tableColumn id="5" xr3:uid="{C3E77AC9-8025-4663-971A-775F59C2AC61}" name="Team" dataDxfId="911"/>
    <tableColumn id="6" xr3:uid="{77B49B9A-AD32-47CD-A61F-A546FAC8C333}" name="Time" dataDxfId="910"/>
    <tableColumn id="7" xr3:uid="{7A10C7D6-5CD2-4534-A45A-72C236CE691A}" name="Category" dataDxfId="909"/>
    <tableColumn id="8" xr3:uid="{6DDD6494-8A7A-4E26-9420-63231BD8AA08}" name="Column1" dataDxfId="908">
      <calculatedColumnFormula>COUNTIF(ValidTeams[],E217)</calculatedColumnFormula>
    </tableColumn>
  </tableColumns>
  <tableStyleInfo name="TableStyleLight8" showFirstColumn="0" showLastColumn="0" showRowStripes="1" showColumnStripes="0"/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708F49EA-B33F-43A5-B8F5-FFDA89819D0C}" name="Table1196181100119" displayName="Table1196181100119" ref="A1:H23" totalsRowShown="0">
  <autoFilter ref="A1:H23" xr:uid="{2BE81515-F432-403B-B177-0191F3B6EF4A}"/>
  <tableColumns count="8">
    <tableColumn id="1" xr3:uid="{7B5C5806-F626-486C-B6E4-54247E939C1A}" name="Place"/>
    <tableColumn id="7" xr3:uid="{D8C9DCC2-6690-4340-8A90-E9DE79702F0D}" name="Points" dataDxfId="905">
      <calculatedColumnFormula>IF(H2=1,MAX(21-A2,0),0)</calculatedColumnFormula>
    </tableColumn>
    <tableColumn id="2" xr3:uid="{B7B0D0F8-06EA-441F-A9FD-47778FABCC72}" name="Last"/>
    <tableColumn id="3" xr3:uid="{C3988260-B274-4C51-B126-A2A5CE811EEC}" name="First"/>
    <tableColumn id="4" xr3:uid="{88645A7B-D05C-43C8-8E49-7426871B53A3}" name="Team"/>
    <tableColumn id="5" xr3:uid="{C5975314-F389-4824-BB8C-6DD458B14B6E}" name="Time" dataDxfId="904"/>
    <tableColumn id="6" xr3:uid="{9A9923B7-4A81-4760-A19F-ECDDC9970EAC}" name="Category"/>
    <tableColumn id="8" xr3:uid="{1A88FCB1-097B-4ADC-A47A-A5537F78FBCC}" name="Valid" dataDxfId="903">
      <calculatedColumnFormula>COUNTIF(ValidTeams[],E2)</calculatedColumnFormula>
    </tableColumn>
  </tableColumns>
  <tableStyleInfo name="TableStyleLight8" showFirstColumn="0" showLastColumn="0" showRowStripes="1" showColumnStripes="0"/>
</table>
</file>

<file path=xl/tables/table1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8C92196A-98BF-41CC-8B87-979063BC2D4A}" name="Table2206282101120" displayName="Table2206282101120" ref="A25:H37" totalsRowShown="0">
  <autoFilter ref="A25:H37" xr:uid="{C25A9C4A-FB27-47B1-9547-9602F89B7537}"/>
  <tableColumns count="8">
    <tableColumn id="1" xr3:uid="{02F6C714-EBA4-4255-A0FF-3C7F4F387526}" name="Place"/>
    <tableColumn id="7" xr3:uid="{D1A82703-9B80-422D-B08D-263DE739FFB2}" name="Points" dataDxfId="902">
      <calculatedColumnFormula>IF(H26=1,MAX(21-A26,0),0)</calculatedColumnFormula>
    </tableColumn>
    <tableColumn id="2" xr3:uid="{4567859C-3A28-493F-9B97-0D07F656D6C5}" name="Last"/>
    <tableColumn id="3" xr3:uid="{E417F554-2761-4DDA-A1C1-031F3978B2F4}" name="First"/>
    <tableColumn id="4" xr3:uid="{6A125E10-0802-4395-8707-A0BCAC54A563}" name="Team"/>
    <tableColumn id="5" xr3:uid="{D60EE5C9-5A76-433B-B058-2AEDB6434B6D}" name="Time" dataDxfId="901"/>
    <tableColumn id="6" xr3:uid="{6796977D-A8A9-471A-9A33-7CE6A0B0F0DC}" name="Category"/>
    <tableColumn id="8" xr3:uid="{52679539-29CE-442B-B619-48C3055EFBCB}" name="Column1" dataDxfId="900">
      <calculatedColumnFormula>COUNTIF(ValidTeams[],E26)</calculatedColumnFormula>
    </tableColumn>
  </tableColumns>
  <tableStyleInfo name="TableStyleLight8" showFirstColumn="0" showLastColumn="0" showRowStripes="1" showColumnStripes="0"/>
</table>
</file>

<file path=xl/tables/table1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A850C7FB-5301-49D8-91CA-BC75150EF4C6}" name="Table3446383102121" displayName="Table3446383102121" ref="A39:G45" totalsRowShown="0">
  <autoFilter ref="A39:G45" xr:uid="{B49FE676-3971-4254-B3CE-8A0E8A4B0CB6}"/>
  <tableColumns count="7">
    <tableColumn id="1" xr3:uid="{B76FCCCA-8BD0-40A1-8114-63408E80B64A}" name="Place"/>
    <tableColumn id="2" xr3:uid="{18F0BED3-D795-4DA4-AB6C-F21CA98630E2}" name="Points"/>
    <tableColumn id="3" xr3:uid="{EF22B491-BFE2-45D3-B8B7-977661933E91}" name="Last"/>
    <tableColumn id="4" xr3:uid="{03D27DF9-2A30-4ABD-B04D-CB59A4050CE7}" name="First"/>
    <tableColumn id="5" xr3:uid="{E5DA1D52-BA63-4D25-9F61-2D98C132B99C}" name="Team" dataDxfId="899"/>
    <tableColumn id="6" xr3:uid="{1746D9D8-8BD5-4F3B-8C36-C2B824DDC00E}" name="Time" dataDxfId="898"/>
    <tableColumn id="7" xr3:uid="{B84DCEDC-30FB-4C2F-BDA8-E253B19F799A}" name="Category"/>
  </tableColumns>
  <tableStyleInfo name="TableStyleLight8" showFirstColumn="0" showLastColumn="0" showRowStripes="1" showColumnStripes="0"/>
</table>
</file>

<file path=xl/tables/table1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9C5CB2F0-B7B0-4044-A4E9-BFF9DA628B05}" name="Table4456484103122" displayName="Table4456484103122" ref="A47:G50" totalsRowShown="0" headerRowDxfId="897" dataDxfId="896" tableBorderDxfId="895">
  <autoFilter ref="A47:G50" xr:uid="{7EF120C7-4833-43B1-A932-0A569965E78A}"/>
  <tableColumns count="7">
    <tableColumn id="1" xr3:uid="{728CC351-3426-485F-BC10-4736E4EA1319}" name="Place" dataDxfId="894"/>
    <tableColumn id="2" xr3:uid="{AD5C54F1-4ADE-423D-9E32-55BD5D12FD66}" name="Points" dataDxfId="893"/>
    <tableColumn id="3" xr3:uid="{6C7DF40D-15F1-4470-8994-0AD733CC9BE6}" name="Last" dataDxfId="892"/>
    <tableColumn id="4" xr3:uid="{D9C346F3-5AF0-4166-8924-8736B4A31B43}" name="First" dataDxfId="891"/>
    <tableColumn id="5" xr3:uid="{C5D03217-2079-4C6E-B581-9C7EED5D58E9}" name="Team" dataDxfId="890"/>
    <tableColumn id="6" xr3:uid="{0065A69A-C06A-44C9-AF81-030DF446C7F3}" name="Time" dataDxfId="889"/>
    <tableColumn id="7" xr3:uid="{0BB87F9C-3C78-4CF5-A81A-2D0F072526A5}" name="Category" dataDxfId="888"/>
  </tableColumns>
  <tableStyleInfo name="TableStyleLight8" showFirstColumn="0" showLastColumn="0" showRowStripes="1" showColumnStripes="0"/>
</table>
</file>

<file path=xl/tables/table1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07ACFBD0-27D0-4B64-8ACD-6FAA1A32B6D1}" name="Table5466585104123" displayName="Table5466585104123" ref="A52:G55" totalsRowShown="0" headerRowDxfId="887" dataDxfId="886" tableBorderDxfId="885">
  <autoFilter ref="A52:G55" xr:uid="{45671861-392C-46D5-8949-81D3A5BB3FB1}"/>
  <tableColumns count="7">
    <tableColumn id="1" xr3:uid="{CB39475F-64C6-43EC-98E6-F4FD4FABEBAF}" name="Place" dataDxfId="884"/>
    <tableColumn id="2" xr3:uid="{683C741E-EB36-43FE-8583-441DF8062629}" name="Points" dataDxfId="883"/>
    <tableColumn id="3" xr3:uid="{E3CC8DEB-6933-4024-B84A-4B9F179EE84D}" name="Last" dataDxfId="882"/>
    <tableColumn id="4" xr3:uid="{CACA6789-653A-45D6-888D-B72F6A319860}" name="First" dataDxfId="881"/>
    <tableColumn id="5" xr3:uid="{530E0EFD-024C-4BF9-A848-CD60D64CA12E}" name="Team" dataDxfId="880"/>
    <tableColumn id="6" xr3:uid="{945CDBB9-4B69-4B86-BA1E-D9E82486D114}" name="Time" dataDxfId="879"/>
    <tableColumn id="7" xr3:uid="{C2ADE13F-68A2-4629-9FDD-18D41897B420}" name="Category" dataDxfId="878"/>
  </tableColumns>
  <tableStyleInfo name="TableStyleLight8" showFirstColumn="0" showLastColumn="0" showRowStripes="1" showColumnStripes="0"/>
</table>
</file>

<file path=xl/tables/table1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8DFAB005-0E06-4E73-A70D-33CD1B96BB7A}" name="Table6476686105124" displayName="Table6476686105124" ref="A57:G59" totalsRowShown="0" headerRowDxfId="877" dataDxfId="876" tableBorderDxfId="875">
  <autoFilter ref="A57:G59" xr:uid="{DD4C0487-3C1D-48CE-889D-00B3DCBBD5DC}"/>
  <tableColumns count="7">
    <tableColumn id="1" xr3:uid="{4612A599-4DF1-4C85-B4C4-1CB91755F241}" name="Place" dataDxfId="874"/>
    <tableColumn id="2" xr3:uid="{2846A071-F362-4683-99AE-56BA38FBEA0E}" name="Points" dataDxfId="873"/>
    <tableColumn id="3" xr3:uid="{9AEBBA5C-A636-4004-805F-8017AE383835}" name="Last" dataDxfId="872"/>
    <tableColumn id="4" xr3:uid="{4720D813-0D5A-4D74-8D59-672937273F97}" name="First" dataDxfId="871"/>
    <tableColumn id="5" xr3:uid="{CD622083-54B3-46C0-AF42-607DDF3F147D}" name="Team" dataDxfId="870"/>
    <tableColumn id="6" xr3:uid="{D42BD6E3-DD0E-4C74-92C1-841041B7B116}" name="Time" dataDxfId="869"/>
    <tableColumn id="7" xr3:uid="{222E30F1-1CC2-4D7E-82C6-AB3ED6BFB25B}" name="Category" dataDxfId="868"/>
  </tableColumns>
  <tableStyleInfo name="TableStyleLight8" showFirstColumn="0" showLastColumn="0" showRowStripes="1" showColumnStripes="0"/>
</table>
</file>

<file path=xl/tables/table1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9F94B302-04B8-40B5-8B9A-98033CA9FECA}" name="Table7486787106125" displayName="Table7486787106125" ref="A61:G63" totalsRowShown="0" headerRowDxfId="867" dataDxfId="866" tableBorderDxfId="865">
  <autoFilter ref="A61:G63" xr:uid="{AFB287A9-7DDA-476C-B93D-7F22CBF72CDB}"/>
  <tableColumns count="7">
    <tableColumn id="1" xr3:uid="{C8C70680-B054-41B1-948A-8486E1AD7D11}" name="Place" dataDxfId="864"/>
    <tableColumn id="2" xr3:uid="{45B77546-5A7E-4B74-90D6-07AC33613D94}" name="Points" dataDxfId="863"/>
    <tableColumn id="3" xr3:uid="{EA96D491-715B-40BA-8700-B4EFAE38163F}" name="Last" dataDxfId="862"/>
    <tableColumn id="4" xr3:uid="{4D115FEE-CD70-4733-8C21-E67008EF6779}" name="First" dataDxfId="861"/>
    <tableColumn id="5" xr3:uid="{1056814D-281E-45DA-9EDA-4CC2788D756E}" name="Team" dataDxfId="860"/>
    <tableColumn id="6" xr3:uid="{6AF2EF6E-DD20-44AA-AC25-F31A8642F365}" name="Time" dataDxfId="859"/>
    <tableColumn id="7" xr3:uid="{416C0EF9-FC80-451D-8346-62B2410A6E55}" name="Category" dataDxfId="858"/>
  </tableColumns>
  <tableStyleInfo name="TableStyleLight8" showFirstColumn="0" showLastColumn="0" showRowStripes="1" showColumnStripes="0"/>
</table>
</file>

<file path=xl/tables/table1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874EB561-3817-465D-A20E-22ABC4F8B1CD}" name="Table8496888107126" displayName="Table8496888107126" ref="A65:G66" totalsRowShown="0" headerRowDxfId="857" dataDxfId="856" tableBorderDxfId="855">
  <autoFilter ref="A65:G66" xr:uid="{327265BE-D992-426A-B3AB-F69BDF1C9F11}"/>
  <tableColumns count="7">
    <tableColumn id="1" xr3:uid="{7C611ED9-33C0-4808-8169-187CB2E42007}" name="Place" dataDxfId="854"/>
    <tableColumn id="2" xr3:uid="{73FA11CC-8F08-45CC-91FC-392857A8F3D9}" name="Points" dataDxfId="853"/>
    <tableColumn id="3" xr3:uid="{C0A5FAFE-09D6-4103-A8A4-D4AE11AB2202}" name="Last" dataDxfId="852"/>
    <tableColumn id="4" xr3:uid="{0BBDA6E5-85E6-4866-AE01-4766BA697885}" name="First" dataDxfId="851"/>
    <tableColumn id="5" xr3:uid="{9DBFB1EB-A643-442D-B3F3-E8E29FCA28B2}" name="Team" dataDxfId="850"/>
    <tableColumn id="6" xr3:uid="{19E2E0A2-B78E-4BA6-8BF6-39EC2FB9CA7D}" name="Time" dataDxfId="849"/>
    <tableColumn id="7" xr3:uid="{D4DF96CA-84AD-4AA3-9C12-57C3B929F874}" name="Category" dataDxfId="848"/>
  </tableColumns>
  <tableStyleInfo name="TableStyleLight8" showFirstColumn="0" showLastColumn="0" showRowStripes="1" showColumnStripes="0"/>
</table>
</file>

<file path=xl/tables/table1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262CD01F-5110-4F70-B5F5-72828D6E1204}" name="Table9506989108127" displayName="Table9506989108127" ref="A68:H76" totalsRowShown="0" headerRowDxfId="847" dataDxfId="846" tableBorderDxfId="845">
  <autoFilter ref="A68:H76" xr:uid="{DEE8DB81-02A0-4B3D-955D-BF6B08106958}"/>
  <tableColumns count="8">
    <tableColumn id="1" xr3:uid="{F1589CA8-E979-4890-B156-F1456798F984}" name="Place" dataDxfId="844"/>
    <tableColumn id="2" xr3:uid="{3DCEB6D7-AB1D-411E-8822-7D5E4AA0E6FB}" name="Points" dataDxfId="843">
      <calculatedColumnFormula>IF(H69=1,MAX(21-A69,0),0)</calculatedColumnFormula>
    </tableColumn>
    <tableColumn id="3" xr3:uid="{B2D321D0-2128-45B3-85CD-F0B7E5363DA0}" name="Last" dataDxfId="842"/>
    <tableColumn id="4" xr3:uid="{24A21083-69C2-4B73-ABC7-F5A48D7519B5}" name="First" dataDxfId="841"/>
    <tableColumn id="5" xr3:uid="{C843C53B-527F-4099-A157-E567D7E63176}" name="Team" dataDxfId="840"/>
    <tableColumn id="6" xr3:uid="{6FE49A68-DCB5-4D2B-A444-EFD6D334A594}" name="Time" dataDxfId="839"/>
    <tableColumn id="7" xr3:uid="{99A1CED1-BE2C-418B-8EFE-DAA8AB52E714}" name="Category" dataDxfId="838"/>
    <tableColumn id="8" xr3:uid="{0132E033-95C9-4229-A431-FE70419DED64}" name="Column1" dataDxfId="837">
      <calculatedColumnFormula>COUNTIF(ValidTeams[],E69)</calculatedColumnFormula>
    </tableColumn>
  </tableColumns>
  <tableStyleInfo name="TableStyleLight8" showFirstColumn="0" showLastColumn="0" showRowStripes="1" showColumnStripes="0"/>
</table>
</file>

<file path=xl/tables/table1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5DF3C06B-BF26-41BB-80AD-27D24BBBED2C}" name="Table10517090109128" displayName="Table10517090109128" ref="A78:H88" totalsRowShown="0" headerRowDxfId="836" dataDxfId="835" tableBorderDxfId="834">
  <autoFilter ref="A78:H88" xr:uid="{D94FE680-30EE-468C-B0C7-D95D6D58BE3A}"/>
  <tableColumns count="8">
    <tableColumn id="1" xr3:uid="{51D164EB-F243-4484-BB1A-6A1AADD5880C}" name="Place" dataDxfId="833"/>
    <tableColumn id="2" xr3:uid="{215946A8-8782-4B23-8762-3B2B2C2B7935}" name="Points" dataDxfId="832">
      <calculatedColumnFormula>IF(H79=1,MAX(21-A79,0),0)</calculatedColumnFormula>
    </tableColumn>
    <tableColumn id="3" xr3:uid="{DB8DE469-E328-4044-8400-3A7726494EB5}" name="Last" dataDxfId="831"/>
    <tableColumn id="4" xr3:uid="{C3EF48C1-67D4-4651-A79A-4F68FB046ACE}" name="First" dataDxfId="830"/>
    <tableColumn id="5" xr3:uid="{521EF266-09CC-4E5E-98FB-B46A66A935AC}" name="Team" dataDxfId="829"/>
    <tableColumn id="6" xr3:uid="{033AC498-6B3D-4BCF-8275-54EA4B00D9B1}" name="Time" dataDxfId="828"/>
    <tableColumn id="7" xr3:uid="{6EBF1245-A511-418A-9CAE-94D798A02D87}" name="Category" dataDxfId="827"/>
    <tableColumn id="8" xr3:uid="{A13F5508-EDF1-4E6D-B21B-F276F5C158D4}" name="Column1" dataDxfId="826">
      <calculatedColumnFormula>COUNTIF(ValidTeams[],E79)</calculatedColumnFormula>
    </tableColumn>
  </tableColumns>
  <tableStyleInfo name="TableStyleLight8" showFirstColumn="0" showLastColumn="0" showRowStripes="1" showColumnStripes="0"/>
</table>
</file>

<file path=xl/tables/table1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02C7BA58-2B61-4F55-A390-3F25805D539C}" name="Table11527191110129" displayName="Table11527191110129" ref="A90:H103" totalsRowShown="0" headerRowDxfId="825" dataDxfId="824" tableBorderDxfId="823">
  <autoFilter ref="A90:H103" xr:uid="{8DB3CF6A-DE15-42E5-9DE4-8E377BFEF7FB}"/>
  <tableColumns count="8">
    <tableColumn id="1" xr3:uid="{74603E6E-93AB-41DD-AF56-2249DB86B9F5}" name="Place" dataDxfId="822"/>
    <tableColumn id="2" xr3:uid="{1EB981C4-46A5-4FAD-903C-99FB822E3531}" name="Points" dataDxfId="821">
      <calculatedColumnFormula>IF(H91=1,MAX(21-A91,0),0)</calculatedColumnFormula>
    </tableColumn>
    <tableColumn id="3" xr3:uid="{2F21236F-F1B8-4872-BD95-3FF2A8353B46}" name="Last" dataDxfId="820"/>
    <tableColumn id="4" xr3:uid="{AB4B140A-FADB-4E14-AFCB-1DFB6D0C1CA4}" name="First" dataDxfId="819"/>
    <tableColumn id="5" xr3:uid="{80AAE0F6-7C4D-4790-B85F-D0CFEB977990}" name="Team" dataDxfId="818"/>
    <tableColumn id="6" xr3:uid="{0BAD537D-9F1B-40B1-990C-0FE329B60E5E}" name="Time" dataDxfId="817"/>
    <tableColumn id="7" xr3:uid="{8107F221-36BE-4305-8E3D-86F67FEABA69}" name="Category" dataDxfId="816"/>
    <tableColumn id="8" xr3:uid="{FC47DB16-98FB-4AAC-94E3-31617C3BE951}" name="Column1" dataDxfId="815">
      <calculatedColumnFormula>COUNTIF(ValidTeams[],E91)</calculatedColumnFormula>
    </tableColumn>
  </tableColumns>
  <tableStyleInfo name="TableStyleLight8" showFirstColumn="0" showLastColumn="0" showRowStripes="1" showColumnStripes="0"/>
</table>
</file>

<file path=xl/tables/table1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B8A98380-301D-4D57-A9FC-D4BC007817F8}" name="Table12537292111130" displayName="Table12537292111130" ref="A105:H118" totalsRowShown="0" headerRowDxfId="814" dataDxfId="813" tableBorderDxfId="812">
  <autoFilter ref="A105:H118" xr:uid="{11C18E5B-2665-42D7-868D-9FA168F847E1}"/>
  <tableColumns count="8">
    <tableColumn id="1" xr3:uid="{7F46F705-5291-4987-8582-461E02B2C194}" name="Place" dataDxfId="811"/>
    <tableColumn id="2" xr3:uid="{1DD45A5E-E742-4426-925E-E948F44B4467}" name="Points" dataDxfId="810">
      <calculatedColumnFormula>IF(H106=1,MAX(21-A106,0),0)</calculatedColumnFormula>
    </tableColumn>
    <tableColumn id="3" xr3:uid="{AD9DF84E-D25D-46DF-8E79-78F3F4995C6C}" name="Last" dataDxfId="809"/>
    <tableColumn id="4" xr3:uid="{E8B7D0E0-0FFD-4621-9DE1-F6E764C81774}" name="First" dataDxfId="808"/>
    <tableColumn id="5" xr3:uid="{14953EDF-BE69-452F-B3A7-5548D17243A5}" name="Team" dataDxfId="807"/>
    <tableColumn id="6" xr3:uid="{A53EC895-0A61-4247-826C-A02C1C4B91D3}" name="Time" dataDxfId="806"/>
    <tableColumn id="7" xr3:uid="{8F1D28D9-1FEB-4280-8342-610999262942}" name="Category" dataDxfId="805"/>
    <tableColumn id="8" xr3:uid="{A94E9767-4477-4484-B3AA-93139A84EB85}" name="Column1" dataDxfId="804">
      <calculatedColumnFormula>COUNTIF(ValidTeams[],E106)</calculatedColumnFormula>
    </tableColumn>
  </tableColumns>
  <tableStyleInfo name="TableStyleLight8" showFirstColumn="0" showLastColumn="0" showRowStripes="1" showColumnStripes="0"/>
</table>
</file>

<file path=xl/tables/table1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CA77A0BA-9544-4D04-A6DE-14CC52846391}" name="Table13547393112131" displayName="Table13547393112131" ref="A120:H129" totalsRowShown="0" headerRowDxfId="803" dataDxfId="802" tableBorderDxfId="801">
  <autoFilter ref="A120:H129" xr:uid="{5C62EA4D-B4AF-459A-9C78-1DDC91C11162}"/>
  <tableColumns count="8">
    <tableColumn id="1" xr3:uid="{E5CABD29-0B0A-485B-9249-B8CDACBA34D0}" name="Place" dataDxfId="800"/>
    <tableColumn id="2" xr3:uid="{0B8D3AFB-878A-49AC-82FC-547F61DAEE88}" name="Points" dataDxfId="799">
      <calculatedColumnFormula>IF(H121=1,MAX(21-A121,0),0)</calculatedColumnFormula>
    </tableColumn>
    <tableColumn id="3" xr3:uid="{A022BF0A-E4C4-4F2B-A248-0AD5DC94FCE9}" name="Last" dataDxfId="798"/>
    <tableColumn id="4" xr3:uid="{1736581E-BDB3-4F0E-9E33-9C63794AC219}" name="First" dataDxfId="797"/>
    <tableColumn id="5" xr3:uid="{118B317D-DE2A-4B4D-88FB-FD3B427DF12A}" name="Team" dataDxfId="796"/>
    <tableColumn id="6" xr3:uid="{B9E10185-6982-438C-8865-ADC1850A7384}" name="Time" dataDxfId="795"/>
    <tableColumn id="7" xr3:uid="{FA5B50B6-89EE-443F-90E9-002FB87E5889}" name="Category" dataDxfId="794"/>
    <tableColumn id="8" xr3:uid="{E845F12B-4462-495A-8298-C464EB81B956}" name="Column1" dataDxfId="793">
      <calculatedColumnFormula>COUNTIF(ValidTeams[],E121)</calculatedColumnFormula>
    </tableColumn>
  </tableColumns>
  <tableStyleInfo name="TableStyleLight8" showFirstColumn="0" showLastColumn="0" showRowStripes="1" showColumnStripes="0"/>
</table>
</file>

<file path=xl/tables/table1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30162219-4C08-49D8-AB3D-586C8C648009}" name="Table14557494113132" displayName="Table14557494113132" ref="A131:H153" totalsRowShown="0" headerRowDxfId="792" dataDxfId="791" tableBorderDxfId="790">
  <autoFilter ref="A131:H153" xr:uid="{26DCB4CA-2DE7-4A48-9E63-A3B293850C38}"/>
  <tableColumns count="8">
    <tableColumn id="1" xr3:uid="{2C7F9399-EA37-4A2C-A9FB-8CCFF4D92220}" name="Place" dataDxfId="789"/>
    <tableColumn id="2" xr3:uid="{4C3AC590-AABB-4EA5-9A87-673008B2D61C}" name="Points" dataDxfId="788">
      <calculatedColumnFormula>IF(H132=1,MAX(21-A132,0),0)</calculatedColumnFormula>
    </tableColumn>
    <tableColumn id="3" xr3:uid="{D4688DD5-42F2-4E92-B58D-5B6C825F0C93}" name="Last" dataDxfId="787"/>
    <tableColumn id="4" xr3:uid="{B8EE2BF6-9A87-4264-A392-4DE8A3958FB6}" name="First" dataDxfId="786"/>
    <tableColumn id="5" xr3:uid="{B45070D6-9C28-4320-90F5-6CE9B2A55D2A}" name="Team" dataDxfId="785"/>
    <tableColumn id="6" xr3:uid="{B37DA178-7DE6-423D-A75E-3C1A9492DC03}" name="Time" dataDxfId="784"/>
    <tableColumn id="7" xr3:uid="{54E29B3B-7C38-4851-B95F-F4DCD62D6702}" name="Category" dataDxfId="783"/>
    <tableColumn id="8" xr3:uid="{37AA0EA4-324C-46A8-ACB3-7E475B41AF15}" name="Column1" dataDxfId="782">
      <calculatedColumnFormula>COUNTIF(ValidTeams[],E132)</calculatedColumnFormula>
    </tableColumn>
  </tableColumns>
  <tableStyleInfo name="TableStyleLight8" showFirstColumn="0" showLastColumn="0" showRowStripes="1" showColumnStripes="0"/>
</table>
</file>

<file path=xl/tables/table1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2" xr:uid="{48F9EAF9-E484-4566-8420-FBB4CCB9E017}" name="Table15567595114133" displayName="Table15567595114133" ref="A155:H166" totalsRowShown="0" headerRowDxfId="781" dataDxfId="780" tableBorderDxfId="779">
  <autoFilter ref="A155:H166" xr:uid="{C613AFCE-296E-4B0B-BEBE-924A468844E2}"/>
  <tableColumns count="8">
    <tableColumn id="1" xr3:uid="{6882157F-7CBF-41DB-AE70-92D98220E4F5}" name="Place" dataDxfId="778"/>
    <tableColumn id="2" xr3:uid="{F01BD4D9-B0A0-47DD-9FA4-BBAEB87A0062}" name="Points" dataDxfId="777">
      <calculatedColumnFormula>IF(H156=1,MAX(21-A156,0),0)</calculatedColumnFormula>
    </tableColumn>
    <tableColumn id="3" xr3:uid="{CB7160EB-0942-465D-A871-6CF44D90BFF6}" name="Last" dataDxfId="776"/>
    <tableColumn id="4" xr3:uid="{8ACE5D5B-8523-48E4-9AE8-A167B9BBB67A}" name="First" dataDxfId="775"/>
    <tableColumn id="5" xr3:uid="{D9407888-6FC9-44EC-B6DA-305109E54645}" name="Team" dataDxfId="774"/>
    <tableColumn id="6" xr3:uid="{7C6C622D-CEA4-4221-80F1-9318B207A2EA}" name="Time" dataDxfId="773"/>
    <tableColumn id="7" xr3:uid="{E324805D-67A1-4495-828A-7F75FC021B0F}" name="Category" dataDxfId="772"/>
    <tableColumn id="8" xr3:uid="{99B953CC-8FA9-42C1-8385-A21A5731EC26}" name="Column1" dataDxfId="771">
      <calculatedColumnFormula>COUNTIF(ValidTeams[],E156)</calculatedColumnFormula>
    </tableColumn>
  </tableColumns>
  <tableStyleInfo name="TableStyleLight8" showFirstColumn="0" showLastColumn="0" showRowStripes="1" showColumnStripes="0"/>
</table>
</file>

<file path=xl/tables/table1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3" xr:uid="{BAF5AF46-47FD-4913-8083-F31347F336B9}" name="Table16577696115134" displayName="Table16577696115134" ref="A168:H190" totalsRowShown="0" headerRowDxfId="770" dataDxfId="769" tableBorderDxfId="768">
  <autoFilter ref="A168:H190" xr:uid="{633EC92F-01AA-4268-8AC0-ADD3DB9BC5E8}"/>
  <tableColumns count="8">
    <tableColumn id="1" xr3:uid="{B37C0BA6-5637-4089-BC70-EA3D3765A06D}" name="Place" dataDxfId="767"/>
    <tableColumn id="2" xr3:uid="{E5A37726-EDFF-4E64-A774-DCCE0582310F}" name="Points" dataDxfId="766">
      <calculatedColumnFormula>IF(H169=1,MAX(21-A169,0),0)</calculatedColumnFormula>
    </tableColumn>
    <tableColumn id="3" xr3:uid="{F8F25E95-8DFD-4760-9271-CC5FC7BEBA30}" name="Last" dataDxfId="765"/>
    <tableColumn id="4" xr3:uid="{720F3056-6B1C-4CD5-ABDE-EE6C7BCD69F4}" name="First" dataDxfId="764"/>
    <tableColumn id="5" xr3:uid="{1A154CB7-F1F7-4AE3-BDF6-B614095A5EC5}" name="Team" dataDxfId="763"/>
    <tableColumn id="6" xr3:uid="{3F4149A6-885D-4947-A731-92B0E641256E}" name="Time" dataDxfId="762"/>
    <tableColumn id="7" xr3:uid="{EEF94615-F241-4D06-B345-029FEC4E32EA}" name="Category" dataDxfId="761"/>
    <tableColumn id="8" xr3:uid="{5E30B53D-AED1-49E9-AB3E-88683C52F361}" name="Column1" dataDxfId="760">
      <calculatedColumnFormula>COUNTIF(ValidTeams[],E169)</calculatedColumnFormula>
    </tableColumn>
  </tableColumns>
  <tableStyleInfo name="TableStyleLight8" showFirstColumn="0" showLastColumn="0" showRowStripes="1" showColumnStripes="0"/>
</table>
</file>

<file path=xl/tables/table1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4" xr:uid="{674E6CE8-BE03-43F6-B822-89911A01E2F6}" name="Table17587797116135" displayName="Table17587797116135" ref="A192:H200" totalsRowShown="0" headerRowDxfId="759" dataDxfId="758" tableBorderDxfId="757">
  <autoFilter ref="A192:H200" xr:uid="{5B01C281-9700-4C4F-829B-AC07CD26C4E6}"/>
  <tableColumns count="8">
    <tableColumn id="1" xr3:uid="{A127A760-5416-4763-9A7A-B8DC42537379}" name="Place" dataDxfId="756"/>
    <tableColumn id="2" xr3:uid="{A0377493-A3BA-4352-B6A2-EF192C40E749}" name="Points" dataDxfId="755">
      <calculatedColumnFormula>IF(H193=1,MAX(21-A193,0),0)</calculatedColumnFormula>
    </tableColumn>
    <tableColumn id="3" xr3:uid="{1A8FBB78-F82F-428D-9920-B8C920969464}" name="Last" dataDxfId="754"/>
    <tableColumn id="4" xr3:uid="{53A7C823-743B-4FD4-9C0E-B84ABA132BAF}" name="First" dataDxfId="753"/>
    <tableColumn id="5" xr3:uid="{5D59F5A6-4D69-43B9-B2FB-B5CE9504112C}" name="Team" dataDxfId="752"/>
    <tableColumn id="6" xr3:uid="{681E6328-A0F4-4FA1-A214-6AA8AB1D4A63}" name="Time" dataDxfId="751"/>
    <tableColumn id="7" xr3:uid="{70D2EB66-07C5-4462-845C-CC5ACDE85E50}" name="Category" dataDxfId="750"/>
    <tableColumn id="8" xr3:uid="{F478C4FF-12E5-40E9-AE36-B4B29B8D6951}" name="Column1" dataDxfId="749">
      <calculatedColumnFormula>COUNTIF(ValidTeams[],E193)</calculatedColumnFormula>
    </tableColumn>
  </tableColumns>
  <tableStyleInfo name="TableStyleLight8" showFirstColumn="0" showLastColumn="0" showRowStripes="1" showColumnStripes="0"/>
</table>
</file>

<file path=xl/tables/table1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5" xr:uid="{A7E51276-DDE4-4C35-92C1-E1238FBEC472}" name="Table20597898117136" displayName="Table20597898117136" ref="A202:H215" totalsRowShown="0" headerRowDxfId="748" dataDxfId="747" tableBorderDxfId="746">
  <autoFilter ref="A202:H215" xr:uid="{DA1AAF35-E6EB-4EFD-A0FD-8BF58AF120BE}"/>
  <tableColumns count="8">
    <tableColumn id="1" xr3:uid="{244FC35B-088B-4874-A10F-9985D57D3521}" name="Place" dataDxfId="745"/>
    <tableColumn id="2" xr3:uid="{9CA49331-DB9A-4C2D-B742-E0F54A9CB07A}" name="Points" dataDxfId="744">
      <calculatedColumnFormula>IF(H203=1,MAX(21-A203,0),0)</calculatedColumnFormula>
    </tableColumn>
    <tableColumn id="3" xr3:uid="{CFC4D053-3FDC-40EB-9ED8-0868AE5AB03F}" name="Last" dataDxfId="743"/>
    <tableColumn id="4" xr3:uid="{BD5D08E0-EF2A-42AC-81B3-7F16F4106DA3}" name="First" dataDxfId="742"/>
    <tableColumn id="5" xr3:uid="{B8C02A2D-9DB5-4F38-ACAC-3BA3F420C52F}" name="Team" dataDxfId="741"/>
    <tableColumn id="6" xr3:uid="{6D1A5E23-525A-4540-9A94-99FA5545AF1E}" name="Time" dataDxfId="740"/>
    <tableColumn id="7" xr3:uid="{7BF1F6DB-6F3F-4997-8F14-7DDC2EECB5DC}" name="Category" dataDxfId="739"/>
    <tableColumn id="8" xr3:uid="{D1B958FF-CD8C-420B-8455-4BDA5A46D0F7}" name="Column1" dataDxfId="738">
      <calculatedColumnFormula>COUNTIF(ValidTeams[],E203)</calculatedColumnFormula>
    </tableColumn>
  </tableColumns>
  <tableStyleInfo name="TableStyleLight8" showFirstColumn="0" showLastColumn="0" showRowStripes="1" showColumnStripes="0"/>
</table>
</file>

<file path=xl/tables/table1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6" xr:uid="{9E0EDE6E-8ACA-4A77-AED1-715E2AF51561}" name="Table21607999118137" displayName="Table21607999118137" ref="A217:H226" totalsRowShown="0" headerRowDxfId="737" dataDxfId="736" tableBorderDxfId="735">
  <autoFilter ref="A217:H226" xr:uid="{9D8B37F4-8CF3-43C5-9AB4-D32258C99D79}"/>
  <tableColumns count="8">
    <tableColumn id="1" xr3:uid="{5E1C3D28-BDF2-4775-AD01-88BF75525711}" name="Place" dataDxfId="734"/>
    <tableColumn id="2" xr3:uid="{7D5BFD31-A5FE-4F4A-ABBB-B79EE4C64928}" name="Points" dataDxfId="733">
      <calculatedColumnFormula>IF(H218=1,MAX(21-A218,0),0)</calculatedColumnFormula>
    </tableColumn>
    <tableColumn id="3" xr3:uid="{E9780DCD-3053-4B5B-9583-D58DB8C526D6}" name="Last" dataDxfId="732"/>
    <tableColumn id="4" xr3:uid="{10EDD769-FCB0-48A6-BFCA-B55D427A42D5}" name="First" dataDxfId="731"/>
    <tableColumn id="5" xr3:uid="{AC5DEF92-F274-4763-B832-CD1A9BA5FD9D}" name="Team" dataDxfId="730"/>
    <tableColumn id="6" xr3:uid="{11F80690-5858-4529-8F0B-E7AB395BD587}" name="Time" dataDxfId="729"/>
    <tableColumn id="7" xr3:uid="{2F7EF7FC-756B-40A0-9B48-E9B8E37648E3}" name="Category" dataDxfId="728"/>
    <tableColumn id="8" xr3:uid="{5865385D-6B05-4562-A4ED-616D689C081A}" name="Column1" dataDxfId="727">
      <calculatedColumnFormula>COUNTIF(ValidTeams[],E218)</calculatedColumnFormula>
    </tableColumn>
  </tableColumns>
  <tableStyleInfo name="TableStyleLight8" showFirstColumn="0" showLastColumn="0" showRowStripes="1" showColumnStripes="0"/>
</table>
</file>

<file path=xl/tables/table1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7" xr:uid="{CD042857-D68A-43BD-B45A-E8675C72D896}" name="Table1196181100119138" displayName="Table1196181100119138" ref="A1:H23" totalsRowShown="0">
  <autoFilter ref="A1:H23" xr:uid="{2BE81515-F432-403B-B177-0191F3B6EF4A}"/>
  <tableColumns count="8">
    <tableColumn id="1" xr3:uid="{0A8A4B2D-F71B-414A-AD99-6D7444AC165A}" name="Place"/>
    <tableColumn id="7" xr3:uid="{D279FFF0-0FAD-4E38-99BA-66D9D34694EF}" name="Points" dataDxfId="724">
      <calculatedColumnFormula>IF(H2=1,MAX(21-A2,0),0)</calculatedColumnFormula>
    </tableColumn>
    <tableColumn id="2" xr3:uid="{C2B838B1-1D26-46D3-BD86-9D4883642605}" name="Last"/>
    <tableColumn id="3" xr3:uid="{9DA68B0F-2654-4368-855B-DEEBBF1B6FAC}" name="First"/>
    <tableColumn id="4" xr3:uid="{BA34338D-C4F8-49EA-9DBC-3952CDFEA8B0}" name="Team"/>
    <tableColumn id="5" xr3:uid="{09973317-B7E9-4714-97B1-57660AEDD689}" name="Time" dataDxfId="723"/>
    <tableColumn id="6" xr3:uid="{05202BE1-B5C7-48E8-81B5-7F787FEBAAC5}" name="Category"/>
    <tableColumn id="8" xr3:uid="{6FC82E2E-DEAC-4E6B-8A61-53FFCC7A9C06}" name="Valid" dataDxfId="722">
      <calculatedColumnFormula>COUNTIF(ValidTeams[],E2)</calculatedColumnFormula>
    </tableColumn>
  </tableColumns>
  <tableStyleInfo name="TableStyleLight8" showFirstColumn="0" showLastColumn="0" showRowStripes="1" showColumnStripes="0"/>
</table>
</file>

<file path=xl/tables/table1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8" xr:uid="{FFA0894C-71A2-4D2A-9B9B-50EFECF8E164}" name="Table2206282101120139" displayName="Table2206282101120139" ref="A25:H37" totalsRowShown="0">
  <autoFilter ref="A25:H37" xr:uid="{C25A9C4A-FB27-47B1-9547-9602F89B7537}"/>
  <tableColumns count="8">
    <tableColumn id="1" xr3:uid="{2D614EBD-4793-4C4D-BC2B-060665318036}" name="Place"/>
    <tableColumn id="7" xr3:uid="{86C5FDFA-C8ED-4548-B307-6DA82228DDFA}" name="Points" dataDxfId="721">
      <calculatedColumnFormula>IF(H26=1,MAX(21-A26,0),0)</calculatedColumnFormula>
    </tableColumn>
    <tableColumn id="2" xr3:uid="{6BA34DDB-AF2A-4276-8738-421CB46A052A}" name="Last"/>
    <tableColumn id="3" xr3:uid="{995D92D5-3444-4844-9DC6-F478E7ECA13C}" name="First"/>
    <tableColumn id="4" xr3:uid="{EC7FB516-7C8B-48E6-9BC3-A9742CFEF8F6}" name="Team"/>
    <tableColumn id="5" xr3:uid="{1960569A-8283-4F04-8935-4FE67CC0BD6D}" name="Time" dataDxfId="720"/>
    <tableColumn id="6" xr3:uid="{A7A9659C-CF66-4C34-96E0-99A4E5B40D2F}" name="Category"/>
    <tableColumn id="8" xr3:uid="{EEBDF373-B34C-4D26-8A1A-BBEC729FE1EE}" name="Column1" dataDxfId="719">
      <calculatedColumnFormula>COUNTIF(ValidTeams[],E26)</calculatedColumnFormula>
    </tableColumn>
  </tableColumns>
  <tableStyleInfo name="TableStyleLight8" showFirstColumn="0" showLastColumn="0" showRowStripes="1" showColumnStripes="0"/>
</table>
</file>

<file path=xl/tables/table1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9" xr:uid="{F56EB078-C83D-4076-9608-1262053F038B}" name="Table3446383102121140" displayName="Table3446383102121140" ref="A39:G45" totalsRowShown="0">
  <autoFilter ref="A39:G45" xr:uid="{B49FE676-3971-4254-B3CE-8A0E8A4B0CB6}"/>
  <tableColumns count="7">
    <tableColumn id="1" xr3:uid="{9FFA7FE6-9EA0-486E-82E1-A3F8DD44848E}" name="Place"/>
    <tableColumn id="2" xr3:uid="{B5AB7605-98D8-4FDF-B89D-13BBE443F3C8}" name="Points"/>
    <tableColumn id="3" xr3:uid="{9709C260-551E-4B80-A0FA-D8A85D328DD6}" name="Last"/>
    <tableColumn id="4" xr3:uid="{E3B90BFD-5CEC-46D8-B88A-B3AE5311FCBA}" name="First"/>
    <tableColumn id="5" xr3:uid="{62774A23-4D7B-455D-AB9B-61AA309BFBB5}" name="Team" dataDxfId="718"/>
    <tableColumn id="6" xr3:uid="{786C621A-7D7C-46AA-A2E1-83A5E921D217}" name="Time" dataDxfId="717"/>
    <tableColumn id="7" xr3:uid="{1C03AD8D-7A46-4758-B151-E01CFFCFE4A4}" name="Category"/>
  </tableColumns>
  <tableStyleInfo name="TableStyleLight8" showFirstColumn="0" showLastColumn="0" showRowStripes="1" showColumnStripes="0"/>
</table>
</file>

<file path=xl/tables/table1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0" xr:uid="{0F91DA9F-E2EA-456C-A218-E98814163814}" name="Table4456484103122141" displayName="Table4456484103122141" ref="A47:G53" totalsRowShown="0" headerRowDxfId="716" dataDxfId="715" tableBorderDxfId="714">
  <autoFilter ref="A47:G53" xr:uid="{7EF120C7-4833-43B1-A932-0A569965E78A}"/>
  <tableColumns count="7">
    <tableColumn id="1" xr3:uid="{7870A1F3-F392-423A-8076-0427F83301FF}" name="Place" dataDxfId="713"/>
    <tableColumn id="2" xr3:uid="{7EEEDE2D-FCB7-43E6-8E2C-63FED95C42A4}" name="Points" dataDxfId="712"/>
    <tableColumn id="3" xr3:uid="{6C08D7DB-6FD3-4B82-90EA-28FE4B193F99}" name="Last" dataDxfId="711"/>
    <tableColumn id="4" xr3:uid="{D34A5850-6A70-4C0D-A821-C8FCB0C8899A}" name="First" dataDxfId="710"/>
    <tableColumn id="5" xr3:uid="{C8C69FCF-DE99-4B67-9D04-B03A79229B97}" name="Team" dataDxfId="709"/>
    <tableColumn id="6" xr3:uid="{32041F02-A2EC-4F8A-806C-DB578D7F55DE}" name="Time" dataDxfId="708"/>
    <tableColumn id="7" xr3:uid="{08ED6A14-C3B5-4DB1-8155-338D40255A7C}" name="Category" dataDxfId="707"/>
  </tableColumns>
  <tableStyleInfo name="TableStyleLight8" showFirstColumn="0" showLastColumn="0" showRowStripes="1" showColumnStripes="0"/>
</table>
</file>

<file path=xl/tables/table1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1" xr:uid="{BF319E53-70C2-4150-BE05-1FB5E8D17CEC}" name="Table5466585104123142" displayName="Table5466585104123142" ref="A55:G58" totalsRowShown="0" headerRowDxfId="706" dataDxfId="705" tableBorderDxfId="704">
  <autoFilter ref="A55:G58" xr:uid="{45671861-392C-46D5-8949-81D3A5BB3FB1}"/>
  <tableColumns count="7">
    <tableColumn id="1" xr3:uid="{0D628A20-6A52-4C4B-BEFC-CB8AE816A4C6}" name="Place" dataDxfId="703"/>
    <tableColumn id="2" xr3:uid="{31B6CC9C-4163-43DB-BD4D-4C54048A33CC}" name="Points" dataDxfId="702"/>
    <tableColumn id="3" xr3:uid="{851BB698-26FE-4EB7-934D-C0DD330684E9}" name="Last" dataDxfId="701"/>
    <tableColumn id="4" xr3:uid="{36B49FD3-E2E0-4FCD-BD79-840293CA81F8}" name="First" dataDxfId="700"/>
    <tableColumn id="5" xr3:uid="{3FAADE8E-2128-4C29-AF7B-880B13872F15}" name="Team" dataDxfId="699"/>
    <tableColumn id="6" xr3:uid="{9390BAD7-A6FD-43D7-96E9-B5A98EEC64EE}" name="Time" dataDxfId="698"/>
    <tableColumn id="7" xr3:uid="{0D0384CB-53F2-41BB-B8FA-AAE355432B7A}" name="Category" dataDxfId="697"/>
  </tableColumns>
  <tableStyleInfo name="TableStyleLight8" showFirstColumn="0" showLastColumn="0" showRowStripes="1" showColumnStripes="0"/>
</table>
</file>

<file path=xl/tables/table1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2" xr:uid="{335607F2-5304-40AE-A5E6-606A96CDAC05}" name="Table6476686105124143" displayName="Table6476686105124143" ref="A60:G65" totalsRowShown="0" headerRowDxfId="696" dataDxfId="695" tableBorderDxfId="694">
  <autoFilter ref="A60:G65" xr:uid="{DD4C0487-3C1D-48CE-889D-00B3DCBBD5DC}"/>
  <tableColumns count="7">
    <tableColumn id="1" xr3:uid="{8CE60F91-3D40-4541-8024-0238B8526DB6}" name="Place" dataDxfId="693"/>
    <tableColumn id="2" xr3:uid="{8D622AD8-5AFE-457B-853F-5D05C48D4E6C}" name="Points" dataDxfId="692"/>
    <tableColumn id="3" xr3:uid="{5F399F2D-381F-4C6D-9E6D-6AE3ECC47F87}" name="Last" dataDxfId="691"/>
    <tableColumn id="4" xr3:uid="{1483C4E1-7859-469D-A26F-F2EBE342B30C}" name="First" dataDxfId="690"/>
    <tableColumn id="5" xr3:uid="{80B6D170-0801-4974-B491-20F1A62A0439}" name="Team" dataDxfId="689"/>
    <tableColumn id="6" xr3:uid="{929FBF61-42E5-4A66-A445-A0F4B0933B4B}" name="Time" dataDxfId="688"/>
    <tableColumn id="7" xr3:uid="{E52A5011-4D1C-4023-B10C-1BBABFA1DC64}" name="Category" dataDxfId="687"/>
  </tableColumns>
  <tableStyleInfo name="TableStyleLight8" showFirstColumn="0" showLastColumn="0" showRowStripes="1" showColumnStripes="0"/>
</table>
</file>

<file path=xl/tables/table1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3" xr:uid="{5E1C923C-6FFD-45A6-BAF8-F03655E53424}" name="Table7486787106125144" displayName="Table7486787106125144" ref="A67:G69" totalsRowShown="0" headerRowDxfId="686" dataDxfId="685" tableBorderDxfId="684">
  <autoFilter ref="A67:G69" xr:uid="{AFB287A9-7DDA-476C-B93D-7F22CBF72CDB}"/>
  <tableColumns count="7">
    <tableColumn id="1" xr3:uid="{6FCF0DA4-CDD9-4935-8B38-49B3474F3FEC}" name="Place" dataDxfId="683"/>
    <tableColumn id="2" xr3:uid="{B8A89B55-A493-420F-81A5-40754ACB4DA6}" name="Points" dataDxfId="682"/>
    <tableColumn id="3" xr3:uid="{671BA187-8117-44D1-A54F-5E3EA7F58847}" name="Last" dataDxfId="681"/>
    <tableColumn id="4" xr3:uid="{312E5854-4F84-400C-86F8-346EB787168F}" name="First" dataDxfId="680"/>
    <tableColumn id="5" xr3:uid="{896E7781-D10E-4F8E-8078-37C43CFFA8BA}" name="Team" dataDxfId="679"/>
    <tableColumn id="6" xr3:uid="{799228A3-597C-4395-891A-1612699859CC}" name="Time" dataDxfId="678"/>
    <tableColumn id="7" xr3:uid="{3A5AB2D0-78E4-4CD4-8BD6-EA4471B4D016}" name="Category" dataDxfId="677"/>
  </tableColumns>
  <tableStyleInfo name="TableStyleLight8" showFirstColumn="0" showLastColumn="0" showRowStripes="1" showColumnStripes="0"/>
</table>
</file>

<file path=xl/tables/table1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4" xr:uid="{881A9C59-E47A-4618-B6E1-2EC441301506}" name="Table8496888107126145" displayName="Table8496888107126145" ref="A71:G72" totalsRowShown="0" headerRowDxfId="676" dataDxfId="675" tableBorderDxfId="674">
  <autoFilter ref="A71:G72" xr:uid="{327265BE-D992-426A-B3AB-F69BDF1C9F11}"/>
  <tableColumns count="7">
    <tableColumn id="1" xr3:uid="{7C24EA1F-F774-4C6D-991C-E33B6B838B22}" name="Place" dataDxfId="673"/>
    <tableColumn id="2" xr3:uid="{FABAA802-1744-45DD-B96A-8FD850FD9183}" name="Points" dataDxfId="672"/>
    <tableColumn id="3" xr3:uid="{5C62D846-EBDE-46EB-9C45-85973419E51B}" name="Last" dataDxfId="671"/>
    <tableColumn id="4" xr3:uid="{C8068317-338D-47E6-8C42-809F1E6A5221}" name="First" dataDxfId="670"/>
    <tableColumn id="5" xr3:uid="{76F751AC-1955-4B8D-987F-7823BD03740F}" name="Team" dataDxfId="669"/>
    <tableColumn id="6" xr3:uid="{9FDBFC60-4652-485F-BA8E-EAD7F8EB5DD5}" name="Time" dataDxfId="668"/>
    <tableColumn id="7" xr3:uid="{29C65C1A-8CEA-4E81-A571-F4A8CBAF3EC3}" name="Category" dataDxfId="667"/>
  </tableColumns>
  <tableStyleInfo name="TableStyleLight8" showFirstColumn="0" showLastColumn="0" showRowStripes="1" showColumnStripes="0"/>
</table>
</file>

<file path=xl/tables/table1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5" xr:uid="{0039CA8E-A5DA-4573-8DFE-694E724C5894}" name="Table9506989108127146" displayName="Table9506989108127146" ref="A74:H82" totalsRowShown="0" headerRowDxfId="666" dataDxfId="665" tableBorderDxfId="664">
  <autoFilter ref="A74:H82" xr:uid="{DEE8DB81-02A0-4B3D-955D-BF6B08106958}"/>
  <tableColumns count="8">
    <tableColumn id="1" xr3:uid="{3AA0F5E6-7BB7-4558-88BB-BD8D48E2B54C}" name="Place" dataDxfId="663"/>
    <tableColumn id="2" xr3:uid="{B2EBC025-7859-41F6-B825-77D42E321285}" name="Points" dataDxfId="662">
      <calculatedColumnFormula>IF(H75=1,MAX(21-A75,0),0)</calculatedColumnFormula>
    </tableColumn>
    <tableColumn id="3" xr3:uid="{DE0DF2A4-141E-414A-BBC1-9124EAD7AECF}" name="Last" dataDxfId="661"/>
    <tableColumn id="4" xr3:uid="{6DB6D743-CC4E-414B-899E-F21D94E4FE65}" name="First" dataDxfId="660"/>
    <tableColumn id="5" xr3:uid="{8BC93392-7462-4867-B931-BC5911B1F976}" name="Team" dataDxfId="659"/>
    <tableColumn id="6" xr3:uid="{66E161A4-4A5F-430B-88EB-086930987489}" name="Time" dataDxfId="658"/>
    <tableColumn id="7" xr3:uid="{28CBE616-6569-4FFA-B620-51D563972C12}" name="Category" dataDxfId="657"/>
    <tableColumn id="8" xr3:uid="{D8AA0DEF-C780-4486-8F08-1C31BFC835C9}" name="Column1" dataDxfId="656">
      <calculatedColumnFormula>COUNTIF(ValidTeams[],E75)</calculatedColumnFormula>
    </tableColumn>
  </tableColumns>
  <tableStyleInfo name="TableStyleLight8" showFirstColumn="0" showLastColumn="0" showRowStripes="1" showColumnStripes="0"/>
</table>
</file>

<file path=xl/tables/table1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6" xr:uid="{604503FE-89F8-4B19-81D7-558491D4F8FE}" name="Table10517090109128147" displayName="Table10517090109128147" ref="A84:H94" totalsRowShown="0" headerRowDxfId="655" dataDxfId="654" tableBorderDxfId="653">
  <autoFilter ref="A84:H94" xr:uid="{D94FE680-30EE-468C-B0C7-D95D6D58BE3A}"/>
  <tableColumns count="8">
    <tableColumn id="1" xr3:uid="{6CBED1D8-A18B-493D-8238-A1B913E18494}" name="Place" dataDxfId="652"/>
    <tableColumn id="2" xr3:uid="{02339C89-75D4-4661-AFDB-2242A46E9CA0}" name="Points" dataDxfId="651">
      <calculatedColumnFormula>IF(H85=1,MAX(21-A85,0),0)</calculatedColumnFormula>
    </tableColumn>
    <tableColumn id="3" xr3:uid="{BBA0D082-9388-4492-B01D-17FD05B1E674}" name="Last" dataDxfId="650"/>
    <tableColumn id="4" xr3:uid="{A3548B71-B45D-4C3B-BDCA-D15B476E44A5}" name="First" dataDxfId="649"/>
    <tableColumn id="5" xr3:uid="{61316877-0E55-4FD2-AD1A-93C47192B948}" name="Team" dataDxfId="648"/>
    <tableColumn id="6" xr3:uid="{0ECD8125-10F1-430F-879C-B29F5D4C77C8}" name="Time" dataDxfId="647"/>
    <tableColumn id="7" xr3:uid="{53CE6C0F-430D-4219-8767-455CBEFE699E}" name="Category" dataDxfId="646"/>
    <tableColumn id="8" xr3:uid="{BC92902E-C5D2-4F81-B97D-AB1F77FB2A03}" name="Column1" dataDxfId="645">
      <calculatedColumnFormula>COUNTIF(ValidTeams[],E85)</calculatedColumnFormula>
    </tableColumn>
  </tableColumns>
  <tableStyleInfo name="TableStyleLight8" showFirstColumn="0" showLastColumn="0" showRowStripes="1" showColumnStripes="0"/>
</table>
</file>

<file path=xl/tables/table1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7" xr:uid="{797ABF3D-A6EE-4210-BAA5-D4985BD2A12D}" name="Table11527191110129148" displayName="Table11527191110129148" ref="A96:H109" totalsRowShown="0" headerRowDxfId="644" dataDxfId="643" tableBorderDxfId="642">
  <autoFilter ref="A96:H109" xr:uid="{8DB3CF6A-DE15-42E5-9DE4-8E377BFEF7FB}"/>
  <tableColumns count="8">
    <tableColumn id="1" xr3:uid="{EF6FF1B6-BDE9-47D7-9AA7-148E4835AD82}" name="Place" dataDxfId="641"/>
    <tableColumn id="2" xr3:uid="{6B1AEDD7-0D88-4F40-962B-D2BE5AE003B7}" name="Points" dataDxfId="640">
      <calculatedColumnFormula>IF(H97=1,MAX(21-A97,0),0)</calculatedColumnFormula>
    </tableColumn>
    <tableColumn id="3" xr3:uid="{E98287B7-68FF-485B-9C4F-13E64A80DFFF}" name="Last" dataDxfId="639"/>
    <tableColumn id="4" xr3:uid="{5B9BA15E-CD11-4CE3-9048-638585AAA8D0}" name="First" dataDxfId="638"/>
    <tableColumn id="5" xr3:uid="{F7E4E4C2-C769-4AC3-9729-B23E5DC8F760}" name="Team" dataDxfId="637"/>
    <tableColumn id="6" xr3:uid="{2429E807-9600-4046-B2BA-1D187068CCAF}" name="Time" dataDxfId="636"/>
    <tableColumn id="7" xr3:uid="{E908746D-0A6E-4459-A0FD-2A56662E4C70}" name="Category" dataDxfId="635"/>
    <tableColumn id="8" xr3:uid="{F17537B8-DAC9-483D-BEB8-E326E246AA8D}" name="Column1" dataDxfId="634">
      <calculatedColumnFormula>COUNTIF(ValidTeams[],E97)</calculatedColumnFormula>
    </tableColumn>
  </tableColumns>
  <tableStyleInfo name="TableStyleLight8" showFirstColumn="0" showLastColumn="0" showRowStripes="1" showColumnStripes="0"/>
</table>
</file>

<file path=xl/tables/table1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8" xr:uid="{CBE5E2A1-0F89-427F-8861-4896833C9072}" name="Table12537292111130149" displayName="Table12537292111130149" ref="A111:H124" totalsRowShown="0" headerRowDxfId="633" dataDxfId="632" tableBorderDxfId="631">
  <autoFilter ref="A111:H124" xr:uid="{11C18E5B-2665-42D7-868D-9FA168F847E1}"/>
  <tableColumns count="8">
    <tableColumn id="1" xr3:uid="{86860E8B-CE1A-4EB0-A6FD-72CCC8F51E0D}" name="Place" dataDxfId="630"/>
    <tableColumn id="2" xr3:uid="{6736847F-13FB-4AC0-9A79-0C62C507DE91}" name="Points" dataDxfId="629">
      <calculatedColumnFormula>IF(H112=1,MAX(21-A112,0),0)</calculatedColumnFormula>
    </tableColumn>
    <tableColumn id="3" xr3:uid="{8B8EA530-4CAC-4863-944A-36CE34E4338B}" name="Last" dataDxfId="628"/>
    <tableColumn id="4" xr3:uid="{1D485F57-B840-4CA7-AB4F-6686A3269973}" name="First" dataDxfId="627"/>
    <tableColumn id="5" xr3:uid="{92BEA031-DEB0-4D18-B919-1F0B8756117D}" name="Team" dataDxfId="626"/>
    <tableColumn id="6" xr3:uid="{29ADE602-2090-46CB-9EA6-4B34423EBDDB}" name="Time" dataDxfId="625"/>
    <tableColumn id="7" xr3:uid="{CF1E3293-6389-43E7-9027-3502F7240CF7}" name="Category" dataDxfId="624"/>
    <tableColumn id="8" xr3:uid="{2BFC859B-183B-454E-AEF2-A88904B9D62F}" name="Column1" dataDxfId="623">
      <calculatedColumnFormula>COUNTIF(ValidTeams[],E112)</calculatedColumnFormula>
    </tableColumn>
  </tableColumns>
  <tableStyleInfo name="TableStyleLight8" showFirstColumn="0" showLastColumn="0" showRowStripes="1" showColumnStripes="0"/>
</table>
</file>

<file path=xl/tables/table1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9" xr:uid="{E09C49C5-D3C3-4EAD-9188-9593882CBFDE}" name="Table13547393112131150" displayName="Table13547393112131150" ref="A126:H135" totalsRowShown="0" headerRowDxfId="622" dataDxfId="621" tableBorderDxfId="620">
  <autoFilter ref="A126:H135" xr:uid="{5C62EA4D-B4AF-459A-9C78-1DDC91C11162}"/>
  <tableColumns count="8">
    <tableColumn id="1" xr3:uid="{00B5C24C-267D-4EC4-ACB2-E5FD384684DF}" name="Place" dataDxfId="619"/>
    <tableColumn id="2" xr3:uid="{4E4C18FB-F90A-4A2D-8DF3-5A8A9827378D}" name="Points" dataDxfId="618">
      <calculatedColumnFormula>IF(H127=1,MAX(21-A127,0),0)</calculatedColumnFormula>
    </tableColumn>
    <tableColumn id="3" xr3:uid="{5ADF8637-35A6-49BD-A55B-5BC20EF0390D}" name="Last" dataDxfId="617"/>
    <tableColumn id="4" xr3:uid="{AEE616AA-ED45-4C0D-A981-154B0CBE89E6}" name="First" dataDxfId="616"/>
    <tableColumn id="5" xr3:uid="{3BDEA4DE-EDA5-4E1A-9ADA-DABE34472B8D}" name="Team" dataDxfId="615"/>
    <tableColumn id="6" xr3:uid="{AF2B1FB9-A0BC-4E3C-8EDB-D8477224111C}" name="Time" dataDxfId="614"/>
    <tableColumn id="7" xr3:uid="{BCD9D585-5AD4-41A5-96D1-E1345285C69A}" name="Category" dataDxfId="613"/>
    <tableColumn id="8" xr3:uid="{0C76D2F8-D998-4FB9-B446-CFC174069DF2}" name="Column1" dataDxfId="612">
      <calculatedColumnFormula>COUNTIF(ValidTeams[],E127)</calculatedColumnFormula>
    </tableColumn>
  </tableColumns>
  <tableStyleInfo name="TableStyleLight8" showFirstColumn="0" showLastColumn="0" showRowStripes="1" showColumnStripes="0"/>
</table>
</file>

<file path=xl/tables/table1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0" xr:uid="{A727B769-842B-4DA2-84BC-24BE4A67A8E0}" name="Table14557494113132151" displayName="Table14557494113132151" ref="A137:H159" totalsRowShown="0" headerRowDxfId="611" dataDxfId="610" tableBorderDxfId="609">
  <autoFilter ref="A137:H159" xr:uid="{26DCB4CA-2DE7-4A48-9E63-A3B293850C38}"/>
  <tableColumns count="8">
    <tableColumn id="1" xr3:uid="{F0E5EE68-D147-449B-ABBA-7E984F5475E1}" name="Place" dataDxfId="608"/>
    <tableColumn id="2" xr3:uid="{DBC0456A-9D5E-4D44-8C82-56D778354D83}" name="Points" dataDxfId="607">
      <calculatedColumnFormula>IF(H138=1,MAX(21-A138,0),0)</calculatedColumnFormula>
    </tableColumn>
    <tableColumn id="3" xr3:uid="{141AD334-A0D1-4435-9846-B614BD4FBB6C}" name="Last" dataDxfId="606"/>
    <tableColumn id="4" xr3:uid="{95DE7D8A-8A17-48F0-80A2-5134848D67AA}" name="First" dataDxfId="605"/>
    <tableColumn id="5" xr3:uid="{D537A70E-2F57-4D7F-9082-73AA80ED8828}" name="Team" dataDxfId="604"/>
    <tableColumn id="6" xr3:uid="{CA094EB6-D269-493C-9671-F87D0C555FB0}" name="Time" dataDxfId="603"/>
    <tableColumn id="7" xr3:uid="{80677906-5664-410E-BE0B-FDAB38B29DB2}" name="Category" dataDxfId="602"/>
    <tableColumn id="8" xr3:uid="{FCCBE283-EBBC-4C29-B95E-DB4790BE2080}" name="Column1" dataDxfId="601">
      <calculatedColumnFormula>COUNTIF(ValidTeams[],E138)</calculatedColumnFormula>
    </tableColumn>
  </tableColumns>
  <tableStyleInfo name="TableStyleLight8" showFirstColumn="0" showLastColumn="0" showRowStripes="1" showColumnStripes="0"/>
</table>
</file>

<file path=xl/tables/table1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1" xr:uid="{052BC2C3-1B25-4BC4-967E-832A5AD8F231}" name="Table15567595114133152" displayName="Table15567595114133152" ref="A161:H172" totalsRowShown="0" headerRowDxfId="600" dataDxfId="599" tableBorderDxfId="598">
  <autoFilter ref="A161:H172" xr:uid="{C613AFCE-296E-4B0B-BEBE-924A468844E2}"/>
  <tableColumns count="8">
    <tableColumn id="1" xr3:uid="{2C8846AD-BD19-4CB3-A423-A3BFAF655BC2}" name="Place" dataDxfId="597"/>
    <tableColumn id="2" xr3:uid="{FF522488-06A4-4489-847E-B6D76897D60A}" name="Points" dataDxfId="596">
      <calculatedColumnFormula>IF(H162=1,MAX(21-A162,0),0)</calculatedColumnFormula>
    </tableColumn>
    <tableColumn id="3" xr3:uid="{6BBA0C5E-D025-4C5B-A5E6-C5A9ED339095}" name="Last" dataDxfId="595"/>
    <tableColumn id="4" xr3:uid="{087AC80F-D12F-4B1F-8A72-643545F7ACA9}" name="First" dataDxfId="594"/>
    <tableColumn id="5" xr3:uid="{AC9ACB0E-E98A-47F1-9DF0-6A0BC069B0A1}" name="Team" dataDxfId="593"/>
    <tableColumn id="6" xr3:uid="{E87F76FF-3D5E-4E0F-A029-EF260BC63513}" name="Time" dataDxfId="592"/>
    <tableColumn id="7" xr3:uid="{823F9A40-C763-4799-A788-D6E79F0D01EF}" name="Category" dataDxfId="591"/>
    <tableColumn id="8" xr3:uid="{89C15A64-C243-4192-92A0-37C5A1E678E4}" name="Column1" dataDxfId="590">
      <calculatedColumnFormula>COUNTIF(ValidTeams[],E162)</calculatedColumnFormula>
    </tableColumn>
  </tableColumns>
  <tableStyleInfo name="TableStyleLight8" showFirstColumn="0" showLastColumn="0" showRowStripes="1" showColumnStripes="0"/>
</table>
</file>

<file path=xl/tables/table1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2" xr:uid="{B35648C2-BB79-4E89-AB4A-94FEE6AFD70E}" name="Table16577696115134153" displayName="Table16577696115134153" ref="A174:H196" totalsRowShown="0" headerRowDxfId="589" dataDxfId="588" tableBorderDxfId="587">
  <autoFilter ref="A174:H196" xr:uid="{633EC92F-01AA-4268-8AC0-ADD3DB9BC5E8}"/>
  <tableColumns count="8">
    <tableColumn id="1" xr3:uid="{4EDEF968-838A-4ADA-A073-F022D9755992}" name="Place" dataDxfId="586"/>
    <tableColumn id="2" xr3:uid="{9A90AC17-6566-43D6-9CA6-8FA8E711D177}" name="Points" dataDxfId="585">
      <calculatedColumnFormula>IF(H175=1,MAX(21-A175,0),0)</calculatedColumnFormula>
    </tableColumn>
    <tableColumn id="3" xr3:uid="{62FFD96C-BD97-4BBB-8CA3-67362C0B0221}" name="Last" dataDxfId="584"/>
    <tableColumn id="4" xr3:uid="{6165CBEC-C915-4535-807A-84213D921580}" name="First" dataDxfId="583"/>
    <tableColumn id="5" xr3:uid="{966F14CD-18D7-4DEC-834B-3539E2F872F5}" name="Team" dataDxfId="582"/>
    <tableColumn id="6" xr3:uid="{6133F310-1DA7-4319-9E6A-88E36DBD04CB}" name="Time" dataDxfId="581"/>
    <tableColumn id="7" xr3:uid="{99F24688-2CD7-46DB-BEA0-15DBDFE204A2}" name="Category" dataDxfId="580"/>
    <tableColumn id="8" xr3:uid="{F3909112-44F6-4BEE-86D4-E86C1B5511BD}" name="Column1" dataDxfId="579">
      <calculatedColumnFormula>COUNTIF(ValidTeams[],E175)</calculatedColumnFormula>
    </tableColumn>
  </tableColumns>
  <tableStyleInfo name="TableStyleLight8" showFirstColumn="0" showLastColumn="0" showRowStripes="1" showColumnStripes="0"/>
</table>
</file>

<file path=xl/tables/table1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3" xr:uid="{BB7C7B60-B7F6-4C6D-B2BE-2D52838F0BD1}" name="Table17587797116135154" displayName="Table17587797116135154" ref="A198:H206" totalsRowShown="0" headerRowDxfId="578" dataDxfId="577" tableBorderDxfId="576">
  <autoFilter ref="A198:H206" xr:uid="{5B01C281-9700-4C4F-829B-AC07CD26C4E6}"/>
  <tableColumns count="8">
    <tableColumn id="1" xr3:uid="{56147F54-3615-49E5-9A90-03D18E3BC99D}" name="Place" dataDxfId="575"/>
    <tableColumn id="2" xr3:uid="{F5343EE5-6D7D-4449-BDCF-F3983D78BA58}" name="Points" dataDxfId="574">
      <calculatedColumnFormula>IF(H199=1,MAX(21-A199,0),0)</calculatedColumnFormula>
    </tableColumn>
    <tableColumn id="3" xr3:uid="{7B88E275-33F3-4164-945B-5362C336B27A}" name="Last" dataDxfId="573"/>
    <tableColumn id="4" xr3:uid="{38935538-9768-469B-B416-FDCB1CFCDA49}" name="First" dataDxfId="572"/>
    <tableColumn id="5" xr3:uid="{251631FD-EC99-4F9F-AD92-0705D43DBEA3}" name="Team" dataDxfId="571"/>
    <tableColumn id="6" xr3:uid="{098DA8F2-92F0-47C1-93D2-FB78D7ECE27C}" name="Time" dataDxfId="570"/>
    <tableColumn id="7" xr3:uid="{EFD5EE4A-8A15-4EB0-B4FE-D934EBF5AC08}" name="Category" dataDxfId="569"/>
    <tableColumn id="8" xr3:uid="{28674F4F-19D3-48CD-B6DC-6054EAA5AA25}" name="Column1" dataDxfId="568">
      <calculatedColumnFormula>COUNTIF(ValidTeams[],E199)</calculatedColumnFormula>
    </tableColumn>
  </tableColumns>
  <tableStyleInfo name="TableStyleLight8" showFirstColumn="0" showLastColumn="0" showRowStripes="1" showColumnStripes="0"/>
</table>
</file>

<file path=xl/tables/table1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4" xr:uid="{A5D0429E-52FB-4431-9464-B96A1CD36DAD}" name="Table20597898117136155" displayName="Table20597898117136155" ref="A208:H221" totalsRowShown="0" headerRowDxfId="567" dataDxfId="566" tableBorderDxfId="565">
  <autoFilter ref="A208:H221" xr:uid="{DA1AAF35-E6EB-4EFD-A0FD-8BF58AF120BE}"/>
  <tableColumns count="8">
    <tableColumn id="1" xr3:uid="{5A64D046-F431-466C-B9C3-BADEC00B799A}" name="Place" dataDxfId="564"/>
    <tableColumn id="2" xr3:uid="{2F031F58-BB49-419F-9B3C-3738AD8A57A8}" name="Points" dataDxfId="563">
      <calculatedColumnFormula>IF(H209=1,MAX(21-A209,0),0)</calculatedColumnFormula>
    </tableColumn>
    <tableColumn id="3" xr3:uid="{E2769EC4-A1AD-4FE0-95B9-3AEEC9DA8BEB}" name="Last" dataDxfId="562"/>
    <tableColumn id="4" xr3:uid="{3CE3D751-E434-4125-A55A-170B59B6B812}" name="First" dataDxfId="561"/>
    <tableColumn id="5" xr3:uid="{20EFDC9C-B84A-42E1-84B4-81B9F246C335}" name="Team" dataDxfId="560"/>
    <tableColumn id="6" xr3:uid="{CCA2293E-93F1-4DF6-B30C-8F8B665A9D04}" name="Time" dataDxfId="559"/>
    <tableColumn id="7" xr3:uid="{D698B738-5D5F-498E-8548-557D1CED5741}" name="Category" dataDxfId="558"/>
    <tableColumn id="8" xr3:uid="{7286390E-16A7-43F9-B282-9ADB7FCA195D}" name="Column1" dataDxfId="557">
      <calculatedColumnFormula>COUNTIF(ValidTeams[],E209)</calculatedColumnFormula>
    </tableColumn>
  </tableColumns>
  <tableStyleInfo name="TableStyleLight8" showFirstColumn="0" showLastColumn="0" showRowStripes="1" showColumnStripes="0"/>
</table>
</file>

<file path=xl/tables/table1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5" xr:uid="{9CB0FF2F-E9E3-4A4F-932A-6BC44E531398}" name="Table21607999118137156" displayName="Table21607999118137156" ref="A223:H232" totalsRowShown="0" headerRowDxfId="556" dataDxfId="555" tableBorderDxfId="554">
  <autoFilter ref="A223:H232" xr:uid="{9D8B37F4-8CF3-43C5-9AB4-D32258C99D79}"/>
  <tableColumns count="8">
    <tableColumn id="1" xr3:uid="{1F478FB6-AF96-444E-B064-4895923BE067}" name="Place" dataDxfId="553"/>
    <tableColumn id="2" xr3:uid="{53F7A244-A16B-4C36-A9B0-8AEC1D1E6348}" name="Points" dataDxfId="552">
      <calculatedColumnFormula>IF(H224=1,MAX(21-A224,0),0)</calculatedColumnFormula>
    </tableColumn>
    <tableColumn id="3" xr3:uid="{7EC18D88-48AC-477E-A95D-8169B56601CA}" name="Last" dataDxfId="551"/>
    <tableColumn id="4" xr3:uid="{882A8C7C-6F16-46EA-8624-5886A1002CEE}" name="First" dataDxfId="550"/>
    <tableColumn id="5" xr3:uid="{9B9D5E49-13BB-43AC-8998-B2B874938A1C}" name="Team" dataDxfId="549"/>
    <tableColumn id="6" xr3:uid="{DBF0309A-05F6-4C22-A23F-1225DF24339A}" name="Time" dataDxfId="548"/>
    <tableColumn id="7" xr3:uid="{E1AD6DF9-16C6-4E04-ABB3-746F29EAE0ED}" name="Category" dataDxfId="547"/>
    <tableColumn id="8" xr3:uid="{A40A6D9F-17D0-4D66-B06E-6B048DF11E30}" name="Column1" dataDxfId="546">
      <calculatedColumnFormula>COUNTIF(ValidTeams[],E224)</calculatedColumnFormula>
    </tableColumn>
  </tableColumns>
  <tableStyleInfo name="TableStyleLight8" showFirstColumn="0" showLastColumn="0" showRowStripes="1" showColumnStripes="0"/>
</table>
</file>

<file path=xl/tables/table1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6" xr:uid="{BAA91771-2A05-4CA7-8AD2-6740AB903411}" name="Table1196181100119138157" displayName="Table1196181100119138157" ref="A1:H31" totalsRowShown="0">
  <autoFilter ref="A1:H31" xr:uid="{2BE81515-F432-403B-B177-0191F3B6EF4A}"/>
  <tableColumns count="8">
    <tableColumn id="1" xr3:uid="{911A9FFA-4BEF-4550-B12F-91CD35794256}" name="Place"/>
    <tableColumn id="7" xr3:uid="{8F699834-FAE4-49FA-AA1F-CBA7C374B75A}" name="Points" dataDxfId="544">
      <calculatedColumnFormula>IF(H2=1,MAX(21-A2,0),0)</calculatedColumnFormula>
    </tableColumn>
    <tableColumn id="2" xr3:uid="{DE59D491-EB54-41C3-85CB-71A358F0252D}" name="Last"/>
    <tableColumn id="3" xr3:uid="{4D31A167-7F4E-49D3-916D-99F8F06153D7}" name="First"/>
    <tableColumn id="4" xr3:uid="{07A5962B-19C8-44BE-ABA7-061838D6BE64}" name="Team"/>
    <tableColumn id="5" xr3:uid="{EAD17A77-ADA0-46E5-85AE-19C80A5DD3CD}" name="Time" dataDxfId="543"/>
    <tableColumn id="6" xr3:uid="{CCE53A4C-FE9E-4FE0-B8A9-962F84D47D14}" name="Category"/>
    <tableColumn id="8" xr3:uid="{75A33DC0-3006-4174-9B59-F9FB7E9A68D4}" name="Valid" dataDxfId="542">
      <calculatedColumnFormula>COUNTIF(ValidTeams[],E2)</calculatedColumnFormula>
    </tableColumn>
  </tableColumns>
  <tableStyleInfo name="TableStyleLight8" showFirstColumn="0" showLastColumn="0" showRowStripes="1" showColumnStripes="0"/>
</table>
</file>

<file path=xl/tables/table1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7" xr:uid="{23F156ED-8E18-429E-B459-C65A58B2EC18}" name="Table2206282101120139158" displayName="Table2206282101120139158" ref="A33:H45" totalsRowShown="0">
  <autoFilter ref="A33:H45" xr:uid="{C25A9C4A-FB27-47B1-9547-9602F89B7537}"/>
  <sortState ref="A34:H45">
    <sortCondition ref="F33:F45"/>
  </sortState>
  <tableColumns count="8">
    <tableColumn id="1" xr3:uid="{61DBF66F-A2D4-42CB-8A53-A920A89AE499}" name="Place"/>
    <tableColumn id="7" xr3:uid="{79443C66-FDAD-4C22-976A-6277F4A2D232}" name="Points" dataDxfId="541">
      <calculatedColumnFormula>IF(H34=1,MAX(21-A34,0),0)</calculatedColumnFormula>
    </tableColumn>
    <tableColumn id="2" xr3:uid="{81ADB0F5-F7FB-45C7-B87D-1BAF9FD0F0CB}" name="Last"/>
    <tableColumn id="3" xr3:uid="{C1B7844D-459E-4957-87FF-65BE394B4797}" name="First"/>
    <tableColumn id="4" xr3:uid="{B04A9B98-ABFB-4879-84E4-C8C31AB8D2F5}" name="Team"/>
    <tableColumn id="5" xr3:uid="{6C71FC16-DB41-439D-A041-433B4745E414}" name="Time" dataDxfId="540"/>
    <tableColumn id="6" xr3:uid="{FABAE367-AEB4-4905-A328-D5F27BC2C0BD}" name="Category"/>
    <tableColumn id="8" xr3:uid="{25B0D894-651E-43A3-BFC4-A3A966FF93B8}" name="Column1" dataDxfId="539">
      <calculatedColumnFormula>COUNTIF(ValidTeams[],E34)</calculatedColumnFormula>
    </tableColumn>
  </tableColumns>
  <tableStyleInfo name="TableStyleLight8" showFirstColumn="0" showLastColumn="0" showRowStripes="1" showColumnStripes="0"/>
</table>
</file>

<file path=xl/tables/table1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8" xr:uid="{24926C6B-DEA7-4156-9BC4-61A47E964D91}" name="Table3446383102121140159" displayName="Table3446383102121140159" ref="A47:G53" totalsRowShown="0">
  <autoFilter ref="A47:G53" xr:uid="{B49FE676-3971-4254-B3CE-8A0E8A4B0CB6}"/>
  <tableColumns count="7">
    <tableColumn id="1" xr3:uid="{2D4D2919-B936-4050-B99E-87BE0934F4A0}" name="Place"/>
    <tableColumn id="2" xr3:uid="{29EC31E6-3107-4961-8D7F-54A8B7023E3A}" name="Points"/>
    <tableColumn id="3" xr3:uid="{D404EE70-3437-49FB-AFA6-9E661C0DC8C9}" name="Last"/>
    <tableColumn id="4" xr3:uid="{82E77D78-F200-47EF-A1CA-57BA61624FD5}" name="First"/>
    <tableColumn id="5" xr3:uid="{DF6B28EC-8F43-467E-BC1F-C4857A237FBE}" name="Team" dataDxfId="538"/>
    <tableColumn id="6" xr3:uid="{0F0DD167-D80B-4A57-9633-C99198F1DEB9}" name="Time" dataDxfId="537"/>
    <tableColumn id="7" xr3:uid="{6FBCA355-5181-4E8D-BE4D-1979BDC13105}" name="Category"/>
  </tableColumns>
  <tableStyleInfo name="TableStyleLight8" showFirstColumn="0" showLastColumn="0" showRowStripes="1" showColumnStripes="0"/>
</table>
</file>

<file path=xl/tables/table1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9" xr:uid="{D34E245F-0675-4D55-AB7E-B6829B64A018}" name="Table4456484103122141160" displayName="Table4456484103122141160" ref="A55:G61" totalsRowShown="0" headerRowDxfId="536" dataDxfId="535" tableBorderDxfId="534">
  <autoFilter ref="A55:G61" xr:uid="{7EF120C7-4833-43B1-A932-0A569965E78A}"/>
  <tableColumns count="7">
    <tableColumn id="1" xr3:uid="{DB4F8020-8433-44F0-8349-2F77E1F60333}" name="Place" dataDxfId="533"/>
    <tableColumn id="2" xr3:uid="{421ADE6B-82E8-4512-9013-AFED526B55BB}" name="Points" dataDxfId="532"/>
    <tableColumn id="3" xr3:uid="{BBF3C517-EB96-44E6-95BE-81CF79B9F86D}" name="Last" dataDxfId="531"/>
    <tableColumn id="4" xr3:uid="{5B59884B-D84C-4868-A056-26E1E8BC8B2F}" name="First" dataDxfId="530"/>
    <tableColumn id="5" xr3:uid="{2ECD309B-0AF7-438D-9C1C-EC9104F57888}" name="Team" dataDxfId="529"/>
    <tableColumn id="6" xr3:uid="{1606736D-BE3D-4472-B0F5-8ED6283C3B5E}" name="Time" dataDxfId="528"/>
    <tableColumn id="7" xr3:uid="{2F0F1BE9-DDC7-4633-B0BE-2FF6A54B0B52}" name="Category" dataDxfId="527"/>
  </tableColumns>
  <tableStyleInfo name="TableStyleLight8" showFirstColumn="0" showLastColumn="0" showRowStripes="1" showColumnStripes="0"/>
</table>
</file>

<file path=xl/tables/table1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0" xr:uid="{EA945F22-D2E3-4D00-ABB9-A7920445D554}" name="Table5466585104123142161" displayName="Table5466585104123142161" ref="A63:G66" totalsRowShown="0" headerRowDxfId="526" dataDxfId="525" tableBorderDxfId="524">
  <autoFilter ref="A63:G66" xr:uid="{45671861-392C-46D5-8949-81D3A5BB3FB1}"/>
  <tableColumns count="7">
    <tableColumn id="1" xr3:uid="{C9612266-4994-4C7D-A1EC-D45F1B4DC637}" name="Place" dataDxfId="523"/>
    <tableColumn id="2" xr3:uid="{59A77844-128F-4110-A2D1-74741D38FD79}" name="Points" dataDxfId="522"/>
    <tableColumn id="3" xr3:uid="{B9BB2E5A-8F78-4EF7-B5A0-69BFC78EB15C}" name="Last" dataDxfId="521"/>
    <tableColumn id="4" xr3:uid="{CC433FB2-2C7D-4E22-97D3-88FB4603B145}" name="First" dataDxfId="520"/>
    <tableColumn id="5" xr3:uid="{952AD0F0-866E-42E6-BB86-8890C0362490}" name="Team" dataDxfId="519"/>
    <tableColumn id="6" xr3:uid="{9D54B003-BC01-4D8A-8D8B-5DF2686F0857}" name="Time" dataDxfId="518"/>
    <tableColumn id="7" xr3:uid="{A18B956D-E1D9-405D-B564-F8D93FCE9074}" name="Category" dataDxfId="517"/>
  </tableColumns>
  <tableStyleInfo name="TableStyleLight8" showFirstColumn="0" showLastColumn="0" showRowStripes="1" showColumnStripes="0"/>
</table>
</file>

<file path=xl/tables/table1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1" xr:uid="{E8B8C616-C3C5-4825-AC3F-A818589A7F09}" name="Table6476686105124143162" displayName="Table6476686105124143162" ref="A68:G73" totalsRowShown="0" headerRowDxfId="516" dataDxfId="515" tableBorderDxfId="514">
  <autoFilter ref="A68:G73" xr:uid="{DD4C0487-3C1D-48CE-889D-00B3DCBBD5DC}"/>
  <tableColumns count="7">
    <tableColumn id="1" xr3:uid="{3428BC5A-C0F6-4560-BFE6-13D57C6A2950}" name="Place" dataDxfId="513"/>
    <tableColumn id="2" xr3:uid="{ACD2D56E-824A-4804-AAB6-835FDDA0F20B}" name="Points" dataDxfId="512"/>
    <tableColumn id="3" xr3:uid="{D70D0EC5-2BAA-4B2F-9BE6-D30248C4461B}" name="Last" dataDxfId="511"/>
    <tableColumn id="4" xr3:uid="{A70C65B6-44FE-4031-9F58-4D6993069369}" name="First" dataDxfId="510"/>
    <tableColumn id="5" xr3:uid="{DA642AAA-A197-4E8D-A0BF-896048A3B7A9}" name="Team" dataDxfId="509"/>
    <tableColumn id="6" xr3:uid="{B010AC01-F3E8-43A3-B895-416E82DAEB51}" name="Time" dataDxfId="508"/>
    <tableColumn id="7" xr3:uid="{A00F7734-E270-4075-A633-3605B44D8E74}" name="Category" dataDxfId="507"/>
  </tableColumns>
  <tableStyleInfo name="TableStyleLight8" showFirstColumn="0" showLastColumn="0" showRowStripes="1" showColumnStripes="0"/>
</table>
</file>

<file path=xl/tables/table1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2" xr:uid="{ADA1977F-6A30-4E25-9914-E669B6876DB7}" name="Table7486787106125144163" displayName="Table7486787106125144163" ref="A75:G77" totalsRowShown="0" headerRowDxfId="506" dataDxfId="505" tableBorderDxfId="504">
  <autoFilter ref="A75:G77" xr:uid="{AFB287A9-7DDA-476C-B93D-7F22CBF72CDB}"/>
  <tableColumns count="7">
    <tableColumn id="1" xr3:uid="{997D0ADF-B9EE-4C07-9296-9710F1008271}" name="Place" dataDxfId="503"/>
    <tableColumn id="2" xr3:uid="{EF07D6EC-5C09-4CB7-80EB-9C5794FCFF41}" name="Points" dataDxfId="502"/>
    <tableColumn id="3" xr3:uid="{E0A365F9-AC26-475E-8B87-635A63A1BC35}" name="Last" dataDxfId="501"/>
    <tableColumn id="4" xr3:uid="{25058E71-CC2E-4D90-89C3-797A38F4878F}" name="First" dataDxfId="500"/>
    <tableColumn id="5" xr3:uid="{54DD87A0-5AAB-438D-B480-DA515ACC63AF}" name="Team" dataDxfId="499"/>
    <tableColumn id="6" xr3:uid="{D0643FDF-93CC-402A-8502-C34AC6C5E83A}" name="Time" dataDxfId="498"/>
    <tableColumn id="7" xr3:uid="{01B54A69-884C-4A22-9F29-3CB20FA6D384}" name="Category" dataDxfId="497"/>
  </tableColumns>
  <tableStyleInfo name="TableStyleLight8" showFirstColumn="0" showLastColumn="0" showRowStripes="1" showColumnStripes="0"/>
</table>
</file>

<file path=xl/tables/table1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3" xr:uid="{023311B4-C7F2-4B74-8CBF-895C57A7E23F}" name="Table8496888107126145164" displayName="Table8496888107126145164" ref="A79:G80" totalsRowShown="0" headerRowDxfId="496" dataDxfId="495" tableBorderDxfId="494">
  <autoFilter ref="A79:G80" xr:uid="{327265BE-D992-426A-B3AB-F69BDF1C9F11}"/>
  <tableColumns count="7">
    <tableColumn id="1" xr3:uid="{9C2350B6-E0DC-4702-A7AF-745E0DB47130}" name="Place" dataDxfId="493"/>
    <tableColumn id="2" xr3:uid="{E5BC87FA-0992-4C85-99CA-C8A05F32B7ED}" name="Points" dataDxfId="492"/>
    <tableColumn id="3" xr3:uid="{AEF34886-6548-41E1-BBC5-00388BC223DA}" name="Last" dataDxfId="491"/>
    <tableColumn id="4" xr3:uid="{6D6496A7-42BF-4828-BC08-6234A87C0125}" name="First" dataDxfId="490"/>
    <tableColumn id="5" xr3:uid="{E82B27C8-33FD-4392-9618-77E24643784F}" name="Team" dataDxfId="489"/>
    <tableColumn id="6" xr3:uid="{5D9D3CD4-154B-4E7D-953F-0F8972C70081}" name="Time" dataDxfId="488"/>
    <tableColumn id="7" xr3:uid="{65D8345E-33FE-4C90-ADA1-F10B84145E07}" name="Category" dataDxfId="487"/>
  </tableColumns>
  <tableStyleInfo name="TableStyleLight8" showFirstColumn="0" showLastColumn="0" showRowStripes="1" showColumnStripes="0"/>
</table>
</file>

<file path=xl/tables/table1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4" xr:uid="{D1EB299B-FB4A-411C-B290-E2634B896E3D}" name="Table9506989108127146165" displayName="Table9506989108127146165" ref="A82:H90" totalsRowShown="0" headerRowDxfId="486" dataDxfId="485" tableBorderDxfId="484">
  <autoFilter ref="A82:H90" xr:uid="{DEE8DB81-02A0-4B3D-955D-BF6B08106958}"/>
  <tableColumns count="8">
    <tableColumn id="1" xr3:uid="{00E9762B-4F5E-4666-9C40-F464C82E03D1}" name="Place" dataDxfId="483"/>
    <tableColumn id="2" xr3:uid="{152AD35A-A7D4-4BCD-84B0-E38342E75395}" name="Points" dataDxfId="482">
      <calculatedColumnFormula>IF(H83=1,MAX(21-A83,0),0)</calculatedColumnFormula>
    </tableColumn>
    <tableColumn id="3" xr3:uid="{2478248F-40D6-4EBD-8840-1BE446534E28}" name="Last" dataDxfId="481"/>
    <tableColumn id="4" xr3:uid="{19EBC009-05B6-4A9A-97DF-BA9D20617CF5}" name="First" dataDxfId="480"/>
    <tableColumn id="5" xr3:uid="{459A9AB3-0555-49F5-9651-1CD993764205}" name="Team" dataDxfId="479"/>
    <tableColumn id="6" xr3:uid="{75FB9CCD-E010-4CEC-AC69-DC97D0BD1217}" name="Time" dataDxfId="478"/>
    <tableColumn id="7" xr3:uid="{78F16777-9672-479A-A9A8-C8B90768482F}" name="Category" dataDxfId="477"/>
    <tableColumn id="8" xr3:uid="{6DDF4503-D97F-4475-B0AE-CDB2AB4ED3CD}" name="Column1" dataDxfId="476">
      <calculatedColumnFormula>COUNTIF(ValidTeams[],E83)</calculatedColumnFormula>
    </tableColumn>
  </tableColumns>
  <tableStyleInfo name="TableStyleLight8" showFirstColumn="0" showLastColumn="0" showRowStripes="1" showColumnStripes="0"/>
</table>
</file>

<file path=xl/tables/table1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5" xr:uid="{E10F1115-BAEB-4A1D-B58A-FAE8B148F6A3}" name="Table10517090109128147166" displayName="Table10517090109128147166" ref="A92:H101" totalsRowShown="0" headerRowDxfId="475" dataDxfId="474" tableBorderDxfId="473">
  <autoFilter ref="A92:H101" xr:uid="{D94FE680-30EE-468C-B0C7-D95D6D58BE3A}"/>
  <tableColumns count="8">
    <tableColumn id="1" xr3:uid="{7A8009AC-ECA7-4723-8A65-CCC4C65C850D}" name="Place" dataDxfId="472"/>
    <tableColumn id="2" xr3:uid="{524218F0-CFBA-44D5-9D6F-B17B75683D82}" name="Points" dataDxfId="471">
      <calculatedColumnFormula>IF(H93=1,MAX(21-A93,0),0)</calculatedColumnFormula>
    </tableColumn>
    <tableColumn id="3" xr3:uid="{769E5808-B24E-4023-BA28-771DAE81E9A3}" name="Last" dataDxfId="470"/>
    <tableColumn id="4" xr3:uid="{B3402597-EDC9-49B2-8068-9A7C089662A3}" name="First" dataDxfId="469"/>
    <tableColumn id="5" xr3:uid="{102AA30E-00B6-4FC4-9379-3664D05F71ED}" name="Team" dataDxfId="468"/>
    <tableColumn id="6" xr3:uid="{E1B4E643-2D8C-4C18-B3C3-F1C1F9BF5D70}" name="Time" dataDxfId="467"/>
    <tableColumn id="7" xr3:uid="{362B9ED2-6006-467A-B9B4-10B0F6DF86A8}" name="Category" dataDxfId="466"/>
    <tableColumn id="8" xr3:uid="{4E0366B1-B27D-42BE-B6CF-1800CDE2080A}" name="Column1" dataDxfId="465">
      <calculatedColumnFormula>COUNTIF(ValidTeams[],E93)</calculatedColumnFormula>
    </tableColumn>
  </tableColumns>
  <tableStyleInfo name="TableStyleLight8" showFirstColumn="0" showLastColumn="0" showRowStripes="1" showColumnStripes="0"/>
</table>
</file>

<file path=xl/tables/table1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6" xr:uid="{F3729FEF-D57A-4D88-8B04-6C3493D7382F}" name="Table11527191110129148167" displayName="Table11527191110129148167" ref="A103:H115" totalsRowShown="0" headerRowDxfId="464" dataDxfId="463" tableBorderDxfId="462">
  <autoFilter ref="A103:H115" xr:uid="{8DB3CF6A-DE15-42E5-9DE4-8E377BFEF7FB}"/>
  <tableColumns count="8">
    <tableColumn id="1" xr3:uid="{BF6876A4-BB70-4393-A854-E64E612CD50F}" name="Place" dataDxfId="461"/>
    <tableColumn id="2" xr3:uid="{AA8D4868-3F3F-463E-8418-8B2597B24D0A}" name="Points" dataDxfId="460">
      <calculatedColumnFormula>IF(H104=1,MAX(21-A104,0),0)</calculatedColumnFormula>
    </tableColumn>
    <tableColumn id="3" xr3:uid="{83BC59A3-E2DA-4320-BE7F-3A26D0A7B125}" name="Last" dataDxfId="459"/>
    <tableColumn id="4" xr3:uid="{413D6AB0-6163-474C-A19C-32BD7180388C}" name="First" dataDxfId="458"/>
    <tableColumn id="5" xr3:uid="{170A387A-A853-4F03-A03B-2D4F38B55928}" name="Team" dataDxfId="457"/>
    <tableColumn id="6" xr3:uid="{C8857CE6-A2B4-4DAD-A58A-EE72CE25394C}" name="Time" dataDxfId="456"/>
    <tableColumn id="7" xr3:uid="{8048C439-078C-42BD-A3F5-28CC7C73EC7D}" name="Category" dataDxfId="455"/>
    <tableColumn id="8" xr3:uid="{18CCB60F-0A47-42EB-8500-6E9C87EF740F}" name="Column1" dataDxfId="454">
      <calculatedColumnFormula>COUNTIF(ValidTeams[],E104)</calculatedColumnFormula>
    </tableColumn>
  </tableColumns>
  <tableStyleInfo name="TableStyleLight8" showFirstColumn="0" showLastColumn="0" showRowStripes="1" showColumnStripes="0"/>
</table>
</file>

<file path=xl/tables/table1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7" xr:uid="{D6D15424-8B75-4502-ABED-AC20459B3C7D}" name="Table12537292111130149168" displayName="Table12537292111130149168" ref="A117:H130" totalsRowShown="0" headerRowDxfId="453" dataDxfId="452" tableBorderDxfId="451">
  <autoFilter ref="A117:H130" xr:uid="{11C18E5B-2665-42D7-868D-9FA168F847E1}"/>
  <tableColumns count="8">
    <tableColumn id="1" xr3:uid="{E9E1F5B7-50E9-47F1-93B4-0F698358A388}" name="Place" dataDxfId="450"/>
    <tableColumn id="2" xr3:uid="{68A27B99-9FA9-4C37-BB1B-D5E2665CFD18}" name="Points" dataDxfId="449">
      <calculatedColumnFormula>IF(H118=1,MAX(21-A118,0),0)</calculatedColumnFormula>
    </tableColumn>
    <tableColumn id="3" xr3:uid="{606ABFEF-90E2-4AB2-BC08-A0136B84E3F7}" name="Last" dataDxfId="448"/>
    <tableColumn id="4" xr3:uid="{B456CCF9-24C3-40AB-8247-8B4B375186C7}" name="First" dataDxfId="447"/>
    <tableColumn id="5" xr3:uid="{0194E63F-87D1-4F09-83E8-0FB645100340}" name="Team" dataDxfId="446"/>
    <tableColumn id="6" xr3:uid="{83D77A4B-8D12-4586-A0AD-2AC8C625CB0F}" name="Time" dataDxfId="445"/>
    <tableColumn id="7" xr3:uid="{DBBDB2D8-04F1-4422-8FA7-1B64FFD2AB19}" name="Category" dataDxfId="444"/>
    <tableColumn id="8" xr3:uid="{349EBDD3-1E3D-46ED-89DB-B186E80DF144}" name="Column1" dataDxfId="443">
      <calculatedColumnFormula>COUNTIF(ValidTeams[],E118)</calculatedColumnFormula>
    </tableColumn>
  </tableColumns>
  <tableStyleInfo name="TableStyleLight8" showFirstColumn="0" showLastColumn="0" showRowStripes="1" showColumnStripes="0"/>
</table>
</file>

<file path=xl/tables/table1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8" xr:uid="{4E125BE5-0E79-4A33-8073-CE11FF0B0B34}" name="Table13547393112131150169" displayName="Table13547393112131150169" ref="A132:H141" totalsRowShown="0" headerRowDxfId="442" dataDxfId="441" tableBorderDxfId="440">
  <autoFilter ref="A132:H141" xr:uid="{5C62EA4D-B4AF-459A-9C78-1DDC91C11162}"/>
  <tableColumns count="8">
    <tableColumn id="1" xr3:uid="{A3B8540A-561A-4B33-82C0-DC83CB03252E}" name="Place" dataDxfId="439"/>
    <tableColumn id="2" xr3:uid="{F6EC411E-441D-4F30-B891-6E3BB91F877A}" name="Points" dataDxfId="438">
      <calculatedColumnFormula>IF(H133=1,MAX(21-A133,0),0)</calculatedColumnFormula>
    </tableColumn>
    <tableColumn id="3" xr3:uid="{45D7C98A-B934-498F-BD4F-B9561827A79F}" name="Last" dataDxfId="437"/>
    <tableColumn id="4" xr3:uid="{8AF2A0CC-70B8-4D89-9D30-41D296F944A6}" name="First" dataDxfId="436"/>
    <tableColumn id="5" xr3:uid="{7C5C9EE1-5C1A-49A5-A992-B875E76A1BDE}" name="Team" dataDxfId="435"/>
    <tableColumn id="6" xr3:uid="{7199DD7A-283A-4570-B3DB-B2F9C1D27F51}" name="Time" dataDxfId="434"/>
    <tableColumn id="7" xr3:uid="{9CADB162-1DF0-4AD3-AD1D-4744FD0189C7}" name="Category" dataDxfId="433"/>
    <tableColumn id="8" xr3:uid="{B5F6C436-A9D6-4ADB-87EF-3ADAA52F358D}" name="Column1" dataDxfId="432">
      <calculatedColumnFormula>COUNTIF(ValidTeams[],E133)</calculatedColumnFormula>
    </tableColumn>
  </tableColumns>
  <tableStyleInfo name="TableStyleLight8" showFirstColumn="0" showLastColumn="0" showRowStripes="1" showColumnStripes="0"/>
</table>
</file>

<file path=xl/tables/table1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9" xr:uid="{CC6F209E-59C5-4034-8C42-39E5D50B76EB}" name="Table14557494113132151170" displayName="Table14557494113132151170" ref="A143:H165" totalsRowShown="0" headerRowDxfId="431" dataDxfId="430" tableBorderDxfId="429">
  <autoFilter ref="A143:H165" xr:uid="{26DCB4CA-2DE7-4A48-9E63-A3B293850C38}"/>
  <tableColumns count="8">
    <tableColumn id="1" xr3:uid="{9AB18DF1-5A52-4922-A60A-E8BB55678B28}" name="Place" dataDxfId="428"/>
    <tableColumn id="2" xr3:uid="{985F358A-141A-432F-B3B0-849D2D24E972}" name="Points" dataDxfId="427">
      <calculatedColumnFormula>IF(H144=1,MAX(21-A144,0),0)</calculatedColumnFormula>
    </tableColumn>
    <tableColumn id="3" xr3:uid="{E2A3711E-22A1-4B5B-BF2A-F5AB92C39516}" name="Last" dataDxfId="426"/>
    <tableColumn id="4" xr3:uid="{766CA267-B05E-4E5A-AA3A-022D298A206A}" name="First" dataDxfId="425"/>
    <tableColumn id="5" xr3:uid="{915FF669-D1C7-4351-B2F0-3736DE4557A8}" name="Team" dataDxfId="424"/>
    <tableColumn id="6" xr3:uid="{30A9F78E-3136-4B17-8490-7F79A05CCBB7}" name="Time" dataDxfId="423"/>
    <tableColumn id="7" xr3:uid="{71FDCF60-ED78-4665-A348-012E4A3E7708}" name="Category" dataDxfId="422"/>
    <tableColumn id="8" xr3:uid="{AB35BDBA-2D79-49EA-A837-3DAC48E971E2}" name="Column1" dataDxfId="421">
      <calculatedColumnFormula>COUNTIF(ValidTeams[],E144)</calculatedColumnFormula>
    </tableColumn>
  </tableColumns>
  <tableStyleInfo name="TableStyleLight8" showFirstColumn="0" showLastColumn="0" showRowStripes="1" showColumnStripes="0"/>
</table>
</file>

<file path=xl/tables/table1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0" xr:uid="{646BA5CA-D277-4DAB-9F88-229B9F7E0DA2}" name="Table15567595114133152171" displayName="Table15567595114133152171" ref="A167:H170" totalsRowShown="0" headerRowDxfId="420" dataDxfId="419" tableBorderDxfId="418">
  <autoFilter ref="A167:H170" xr:uid="{C613AFCE-296E-4B0B-BEBE-924A468844E2}"/>
  <tableColumns count="8">
    <tableColumn id="1" xr3:uid="{4314B067-54D7-40E2-BA15-A8EF8FC4E11F}" name="Place" dataDxfId="417"/>
    <tableColumn id="2" xr3:uid="{EC0DC37D-ECB8-41F6-A71F-C236BF3D955F}" name="Points" dataDxfId="416">
      <calculatedColumnFormula>IF(H168=1,MAX(21-A168,0),0)</calculatedColumnFormula>
    </tableColumn>
    <tableColumn id="3" xr3:uid="{6564E95B-3D71-4E8B-BF4B-0434338E8F88}" name="Last" dataDxfId="415"/>
    <tableColumn id="4" xr3:uid="{156E741E-63F7-4269-BE8C-3F5F624178AB}" name="First" dataDxfId="414"/>
    <tableColumn id="5" xr3:uid="{FFC63C46-3BA2-4F28-9BC1-FE5B98AB3E3E}" name="Team" dataDxfId="413"/>
    <tableColumn id="6" xr3:uid="{2638E770-7BF7-4469-9386-ABA0F00B1753}" name="Time" dataDxfId="412"/>
    <tableColumn id="7" xr3:uid="{8E7C29E6-8178-4A13-8F91-D2B0CC526E80}" name="Category" dataDxfId="411"/>
    <tableColumn id="8" xr3:uid="{BE796A98-AB8A-4218-9894-DD8A6FD813CD}" name="Column1" dataDxfId="410">
      <calculatedColumnFormula>COUNTIF(ValidTeams[],E168)</calculatedColumnFormula>
    </tableColumn>
  </tableColumns>
  <tableStyleInfo name="TableStyleLight8" showFirstColumn="0" showLastColumn="0" showRowStripes="1" showColumnStripes="0"/>
</table>
</file>

<file path=xl/tables/table1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1" xr:uid="{5F2C8441-8984-49DF-BA0E-1D33063F6D05}" name="Table16577696115134153172" displayName="Table16577696115134153172" ref="A172:H182" totalsRowShown="0" headerRowDxfId="409" dataDxfId="408" tableBorderDxfId="407">
  <autoFilter ref="A172:H182" xr:uid="{633EC92F-01AA-4268-8AC0-ADD3DB9BC5E8}"/>
  <tableColumns count="8">
    <tableColumn id="1" xr3:uid="{E0720422-823F-4961-B81F-A80CE842F3B6}" name="Place" dataDxfId="406"/>
    <tableColumn id="2" xr3:uid="{DC174CF4-078A-4B54-8D14-8DC8CB7E923F}" name="Points" dataDxfId="405">
      <calculatedColumnFormula>IF(H173=1,MAX(21-A173,0),0)</calculatedColumnFormula>
    </tableColumn>
    <tableColumn id="3" xr3:uid="{2E566FB5-8648-4A77-87E6-14C4FE24DE56}" name="Last" dataDxfId="404"/>
    <tableColumn id="4" xr3:uid="{73B4B7DC-158F-4BAC-85FD-749F478912B2}" name="First" dataDxfId="403"/>
    <tableColumn id="5" xr3:uid="{F327B26C-7BD9-4D6D-B6CE-807DDCB24FB2}" name="Team" dataDxfId="402"/>
    <tableColumn id="6" xr3:uid="{48770145-8362-49E8-8A41-2896A767F7E3}" name="Time" dataDxfId="401"/>
    <tableColumn id="7" xr3:uid="{0EB1A8B0-6223-49C4-BD5D-97202E793842}" name="Category" dataDxfId="400"/>
    <tableColumn id="8" xr3:uid="{18656DA9-C38D-4375-A94B-F351C0DD0C9F}" name="Column1" dataDxfId="399">
      <calculatedColumnFormula>COUNTIF(ValidTeams[],E173)</calculatedColumnFormula>
    </tableColumn>
  </tableColumns>
  <tableStyleInfo name="TableStyleLight8" showFirstColumn="0" showLastColumn="0" showRowStripes="1" showColumnStripes="0"/>
</table>
</file>

<file path=xl/tables/table1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2" xr:uid="{45AC35A8-E485-416E-80C5-25A3A0B2FE78}" name="Table17587797116135154173" displayName="Table17587797116135154173" ref="A184:H192" totalsRowShown="0" headerRowDxfId="398" dataDxfId="397" tableBorderDxfId="396">
  <autoFilter ref="A184:H192" xr:uid="{5B01C281-9700-4C4F-829B-AC07CD26C4E6}"/>
  <tableColumns count="8">
    <tableColumn id="1" xr3:uid="{F8DAED0F-C7A5-4234-B744-EE6CB95B4DF5}" name="Place" dataDxfId="395"/>
    <tableColumn id="2" xr3:uid="{6FEE341C-D582-4EA9-BFDF-4A4020F1A994}" name="Points" dataDxfId="394">
      <calculatedColumnFormula>IF(H185=1,MAX(21-A185,0),0)</calculatedColumnFormula>
    </tableColumn>
    <tableColumn id="3" xr3:uid="{BF82809C-0989-4F19-8FC7-EA5A4DA091D0}" name="Last" dataDxfId="393"/>
    <tableColumn id="4" xr3:uid="{34AD14FE-0982-428C-A8EE-F7B445F6CA10}" name="First" dataDxfId="392"/>
    <tableColumn id="5" xr3:uid="{A7B1721B-E56D-4175-A345-B7ABFADFA6E3}" name="Team" dataDxfId="391"/>
    <tableColumn id="6" xr3:uid="{3D199B89-CC2E-46A2-A9EB-6BC0826814CA}" name="Time" dataDxfId="390"/>
    <tableColumn id="7" xr3:uid="{DAEBFA9D-35D4-4393-A8A6-49D12DB386B4}" name="Category" dataDxfId="389"/>
    <tableColumn id="8" xr3:uid="{E26F32F2-C24D-43C7-81D0-B912E067440C}" name="Column1" dataDxfId="388">
      <calculatedColumnFormula>COUNTIF(ValidTeams[],E185)</calculatedColumnFormula>
    </tableColumn>
  </tableColumns>
  <tableStyleInfo name="TableStyleLight8" showFirstColumn="0" showLastColumn="0" showRowStripes="1" showColumnStripes="0"/>
</table>
</file>

<file path=xl/tables/table1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3" xr:uid="{552A415C-72FC-4CAC-8292-1A0D6626BB45}" name="Table20597898117136155174" displayName="Table20597898117136155174" ref="A194:H207" totalsRowShown="0" headerRowDxfId="387" dataDxfId="386" tableBorderDxfId="385">
  <autoFilter ref="A194:H207" xr:uid="{DA1AAF35-E6EB-4EFD-A0FD-8BF58AF120BE}"/>
  <tableColumns count="8">
    <tableColumn id="1" xr3:uid="{A88CF29A-D45D-4BDC-9F60-43C71499BD8B}" name="Place" dataDxfId="384"/>
    <tableColumn id="2" xr3:uid="{128D5154-C8C1-42A1-9B58-26CA772D19F5}" name="Points" dataDxfId="383">
      <calculatedColumnFormula>IF(H195=1,MAX(21-A195,0),0)</calculatedColumnFormula>
    </tableColumn>
    <tableColumn id="3" xr3:uid="{BBB7899B-7605-4EDD-BA76-0657F8812F7B}" name="Last" dataDxfId="382"/>
    <tableColumn id="4" xr3:uid="{1B18520B-4E95-42E5-AF4F-764F68E2E01F}" name="First" dataDxfId="381"/>
    <tableColumn id="5" xr3:uid="{20896270-CEAE-4839-BA35-96F35661B8EB}" name="Team" dataDxfId="380"/>
    <tableColumn id="6" xr3:uid="{71C87EBB-018D-457C-8105-202FF1778758}" name="Time" dataDxfId="379"/>
    <tableColumn id="7" xr3:uid="{E1B89C1D-E8AE-4111-A380-F5D536EAE04B}" name="Category" dataDxfId="378"/>
    <tableColumn id="8" xr3:uid="{6C001EF3-995D-437B-ADB9-388384862098}" name="Column1" dataDxfId="377">
      <calculatedColumnFormula>COUNTIF(ValidTeams[],E195)</calculatedColumnFormula>
    </tableColumn>
  </tableColumns>
  <tableStyleInfo name="TableStyleLight8" showFirstColumn="0" showLastColumn="0" showRowStripes="1" showColumnStripes="0"/>
</table>
</file>

<file path=xl/tables/table1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4" xr:uid="{1EF3A7FE-FB3F-494B-958D-6DDBAFF2A3D4}" name="Table21607999118137156175" displayName="Table21607999118137156175" ref="A209:H218" totalsRowShown="0" headerRowDxfId="376" dataDxfId="375" tableBorderDxfId="374">
  <autoFilter ref="A209:H218" xr:uid="{9D8B37F4-8CF3-43C5-9AB4-D32258C99D79}"/>
  <sortState ref="A210:H218">
    <sortCondition ref="F209:F218"/>
  </sortState>
  <tableColumns count="8">
    <tableColumn id="1" xr3:uid="{D942AC85-C577-4AF1-BB38-0FBDED318A35}" name="Place" dataDxfId="373"/>
    <tableColumn id="2" xr3:uid="{DC13AF3F-3935-4F9D-B510-AAC916F1EA45}" name="Points" dataDxfId="372">
      <calculatedColumnFormula>IF(H210=1,MAX(21-A210,0),0)</calculatedColumnFormula>
    </tableColumn>
    <tableColumn id="3" xr3:uid="{4377D19E-FBC7-4D97-AA82-A5CF6BAE1B63}" name="Last" dataDxfId="371"/>
    <tableColumn id="4" xr3:uid="{1BAB5D84-0AEB-43F7-BD15-DD0F9F2F8802}" name="First" dataDxfId="370"/>
    <tableColumn id="5" xr3:uid="{53D5B89D-FA32-4FF1-8430-453408A3CB35}" name="Team" dataDxfId="369"/>
    <tableColumn id="6" xr3:uid="{81F361A5-3720-4BB1-89BF-60F7F3227136}" name="Time" dataDxfId="368"/>
    <tableColumn id="7" xr3:uid="{2CCC0A22-6811-466E-93C3-0A9605628947}" name="Category" dataDxfId="367"/>
    <tableColumn id="8" xr3:uid="{C7976FE6-3AEA-40D4-AEDE-2EE1AF1FB781}" name="Column1" dataDxfId="366">
      <calculatedColumnFormula>COUNTIF(ValidTeams[],E210)</calculatedColumnFormula>
    </tableColumn>
  </tableColumns>
  <tableStyleInfo name="TableStyleLight8" showFirstColumn="0" showLastColumn="0" showRowStripes="1" showColumnStripes="0"/>
</table>
</file>

<file path=xl/tables/table1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5" xr:uid="{BC72F851-1D0C-4CD1-8C95-EB982977E9F8}" name="Table1196181100119138157176" displayName="Table1196181100119138157176" ref="A1:H10" totalsRowShown="0">
  <autoFilter ref="A1:H10" xr:uid="{2BE81515-F432-403B-B177-0191F3B6EF4A}"/>
  <tableColumns count="8">
    <tableColumn id="1" xr3:uid="{8AFDCA4E-C13C-4408-BAB3-B3BA969CED4B}" name="Place"/>
    <tableColumn id="7" xr3:uid="{C72243BA-7B3C-4D1C-B020-B531A21FB624}" name="Points" dataDxfId="364">
      <calculatedColumnFormula>IF(H2=1,MAX(21-A2,0),0)</calculatedColumnFormula>
    </tableColumn>
    <tableColumn id="2" xr3:uid="{ED4554AB-D234-4F5A-AAB1-ADB6C39C58D5}" name="Last"/>
    <tableColumn id="3" xr3:uid="{0525C51A-07AE-404A-B09A-A6DDB91F7C1A}" name="First"/>
    <tableColumn id="4" xr3:uid="{7E0AFABE-5A71-4F47-92AE-F88340975D77}" name="Team"/>
    <tableColumn id="5" xr3:uid="{37A4EB30-AA28-4AB3-B079-77B0740623BB}" name="Time" dataDxfId="363"/>
    <tableColumn id="6" xr3:uid="{54CA2510-02F3-4360-8EB5-80D7CB27CEAD}" name="Category"/>
    <tableColumn id="8" xr3:uid="{934FF1BC-F526-49C3-802C-503B12A397D7}" name="Valid" dataDxfId="362">
      <calculatedColumnFormula>COUNTIF(ValidTeams[],E2)</calculatedColumnFormula>
    </tableColumn>
  </tableColumns>
  <tableStyleInfo name="TableStyleLight8" showFirstColumn="0" showLastColumn="0" showRowStripes="1" showColumnStripes="0"/>
</table>
</file>

<file path=xl/tables/table1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6" xr:uid="{97BA2888-EB28-44F7-A4B3-4BE825F7D7C0}" name="Table2206282101120139158177" displayName="Table2206282101120139158177" ref="A12:H16" totalsRowShown="0">
  <autoFilter ref="A12:H16" xr:uid="{C25A9C4A-FB27-47B1-9547-9602F89B7537}"/>
  <sortState ref="A13:H16">
    <sortCondition ref="F12:F16"/>
  </sortState>
  <tableColumns count="8">
    <tableColumn id="1" xr3:uid="{5FC03F56-7B07-47D1-B009-F0EEA7B46699}" name="Place"/>
    <tableColumn id="7" xr3:uid="{09878B01-6F4A-4CDF-A83E-200619D830B0}" name="Points" dataDxfId="361">
      <calculatedColumnFormula>IF(H13=1,MAX(21-A13,0),0)</calculatedColumnFormula>
    </tableColumn>
    <tableColumn id="2" xr3:uid="{22AA1053-0AD9-429A-8EFC-F78A39196F1F}" name="Last"/>
    <tableColumn id="3" xr3:uid="{780A39BE-102B-4B40-B8B0-A945A2D59A61}" name="First"/>
    <tableColumn id="4" xr3:uid="{0E4A4483-602A-4A63-87EF-7734E906D14D}" name="Team"/>
    <tableColumn id="5" xr3:uid="{A18F287E-A9ED-4F77-8EDE-953EF8AC45EF}" name="Time" dataDxfId="360"/>
    <tableColumn id="6" xr3:uid="{7B9506C1-6361-489C-B879-910B45EDA764}" name="Category"/>
    <tableColumn id="8" xr3:uid="{177FFF9F-992F-46F2-96BF-1A6963EE662A}" name="Column1" dataDxfId="359">
      <calculatedColumnFormula>COUNTIF(ValidTeams[],E13)</calculatedColumnFormula>
    </tableColumn>
  </tableColumns>
  <tableStyleInfo name="TableStyleLight8" showFirstColumn="0" showLastColumn="0" showRowStripes="1" showColumnStripes="0"/>
</table>
</file>

<file path=xl/tables/table1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7" xr:uid="{685CC62A-77F9-4957-A999-8C166FD11E99}" name="Table3446383102121140159178" displayName="Table3446383102121140159178" ref="A18:G19" totalsRowShown="0">
  <autoFilter ref="A18:G19" xr:uid="{B49FE676-3971-4254-B3CE-8A0E8A4B0CB6}"/>
  <tableColumns count="7">
    <tableColumn id="1" xr3:uid="{6A870E93-03FA-4B32-8F88-AA9EFBD3EA12}" name="Place"/>
    <tableColumn id="2" xr3:uid="{7F514815-17AC-4043-B255-7D4DED859D9C}" name="Points"/>
    <tableColumn id="3" xr3:uid="{51551350-CC81-4BEF-ADA2-60079924F1EF}" name="Last"/>
    <tableColumn id="4" xr3:uid="{5D108DFF-DD53-4DCD-AE23-5416603C6F8B}" name="First"/>
    <tableColumn id="5" xr3:uid="{0D7E6D60-78E9-43DA-AA27-81A1A1F3A637}" name="Team" dataDxfId="358"/>
    <tableColumn id="6" xr3:uid="{8F9B6748-6DB9-4DD3-84E5-E9BE89D6E154}" name="Time" dataDxfId="357"/>
    <tableColumn id="7" xr3:uid="{1B5B9A4C-9BE2-4E6E-A47F-3149F47914F1}" name="Category"/>
  </tableColumns>
  <tableStyleInfo name="TableStyleLight8" showFirstColumn="0" showLastColumn="0" showRowStripes="1" showColumnStripes="0"/>
</table>
</file>

<file path=xl/tables/table1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8" xr:uid="{7C6386B3-5531-42B8-97E6-25C6DD2A953B}" name="Table4456484103122141160179" displayName="Table4456484103122141160179" ref="A21:G23" totalsRowShown="0" headerRowDxfId="356" dataDxfId="355" tableBorderDxfId="354">
  <autoFilter ref="A21:G23" xr:uid="{7EF120C7-4833-43B1-A932-0A569965E78A}"/>
  <tableColumns count="7">
    <tableColumn id="1" xr3:uid="{47A332C7-DD09-4D08-BFA1-55B0FAD980DB}" name="Place" dataDxfId="353"/>
    <tableColumn id="2" xr3:uid="{E7F9E102-1FAD-4585-95AB-0342B3D8B743}" name="Points" dataDxfId="352"/>
    <tableColumn id="3" xr3:uid="{7D66D21A-4D8E-4FEA-B23A-154ADFEBE068}" name="Last" dataDxfId="351"/>
    <tableColumn id="4" xr3:uid="{A0673BC6-F4F8-45C4-B23F-C79B9F653ACD}" name="First" dataDxfId="350"/>
    <tableColumn id="5" xr3:uid="{8EA050C1-8837-40FB-9A63-3E68185A908B}" name="Team" dataDxfId="349"/>
    <tableColumn id="6" xr3:uid="{42F1AAD4-C336-4FEC-91E6-CE03E1CADC92}" name="Time" dataDxfId="348"/>
    <tableColumn id="7" xr3:uid="{33753D59-8870-4D4E-86B3-86F08C680950}" name="Category" dataDxfId="347"/>
  </tableColumns>
  <tableStyleInfo name="TableStyleLight8" showFirstColumn="0" showLastColumn="0" showRowStripes="1" showColumnStripes="0"/>
</table>
</file>

<file path=xl/tables/table1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9" xr:uid="{8FBA733A-032B-4087-A4EE-A41342D5FE02}" name="Table5466585104123142161180" displayName="Table5466585104123142161180" ref="A25:G26" totalsRowShown="0" headerRowDxfId="346" dataDxfId="345" tableBorderDxfId="344">
  <autoFilter ref="A25:G26" xr:uid="{45671861-392C-46D5-8949-81D3A5BB3FB1}"/>
  <tableColumns count="7">
    <tableColumn id="1" xr3:uid="{0DBF0BD6-BFFE-4425-8799-34513727020A}" name="Place" dataDxfId="343"/>
    <tableColumn id="2" xr3:uid="{90540C05-7387-448A-8CEB-6E117EDCB624}" name="Points" dataDxfId="342"/>
    <tableColumn id="3" xr3:uid="{A8DD14AB-C7F8-45B5-8390-E8131236AC32}" name="Last" dataDxfId="341"/>
    <tableColumn id="4" xr3:uid="{E5A648BD-E7DC-4FF3-885F-8AE5CB9A4843}" name="First" dataDxfId="340"/>
    <tableColumn id="5" xr3:uid="{8331EBEF-3C3D-483F-AD07-B80D3E5691C4}" name="Team" dataDxfId="339"/>
    <tableColumn id="6" xr3:uid="{F10BAD7E-0894-4D9B-9350-C42690254DF8}" name="Time" dataDxfId="338"/>
    <tableColumn id="7" xr3:uid="{01354B87-565D-4000-9F27-754E4326D567}" name="Category" dataDxfId="337"/>
  </tableColumns>
  <tableStyleInfo name="TableStyleLight8" showFirstColumn="0" showLastColumn="0" showRowStripes="1" showColumnStripes="0"/>
</table>
</file>

<file path=xl/tables/table1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0" xr:uid="{8863562D-60B0-4815-9F4D-2DB60AC7D73F}" name="Table6476686105124143162181" displayName="Table6476686105124143162181" ref="A28:G31" totalsRowShown="0" headerRowDxfId="336" dataDxfId="335" tableBorderDxfId="334">
  <autoFilter ref="A28:G31" xr:uid="{DD4C0487-3C1D-48CE-889D-00B3DCBBD5DC}"/>
  <tableColumns count="7">
    <tableColumn id="1" xr3:uid="{C5159E39-603B-42D5-A06A-8C545085CA04}" name="Place" dataDxfId="333"/>
    <tableColumn id="2" xr3:uid="{9A466F79-6919-4046-A283-1BFFEA308C68}" name="Points" dataDxfId="332"/>
    <tableColumn id="3" xr3:uid="{874309B4-4C8A-48BA-8491-1EEABB6F9876}" name="Last" dataDxfId="331"/>
    <tableColumn id="4" xr3:uid="{F78392DF-FF6D-4332-93C8-89671655B3E3}" name="First" dataDxfId="330"/>
    <tableColumn id="5" xr3:uid="{11040C12-2F92-4264-A877-F4079AB1C4C9}" name="Team" dataDxfId="329"/>
    <tableColumn id="6" xr3:uid="{4DBD9B0E-3378-4B57-B294-BA8E79C89483}" name="Time" dataDxfId="328"/>
    <tableColumn id="7" xr3:uid="{C33C2265-D8BF-42B4-9082-5A21B3957C50}" name="Category" dataDxfId="327"/>
  </tableColumns>
  <tableStyleInfo name="TableStyleLight8" showFirstColumn="0" showLastColumn="0" showRowStripes="1" showColumnStripes="0"/>
</table>
</file>

<file path=xl/tables/table1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1" xr:uid="{20F57DA5-D99F-43BF-9806-AC7EDBE275DF}" name="Table7486787106125144163182" displayName="Table7486787106125144163182" ref="A33:G34" totalsRowShown="0" headerRowDxfId="326" dataDxfId="325" tableBorderDxfId="324">
  <autoFilter ref="A33:G34" xr:uid="{AFB287A9-7DDA-476C-B93D-7F22CBF72CDB}"/>
  <tableColumns count="7">
    <tableColumn id="1" xr3:uid="{5257A239-63D2-4E83-B06A-754624775D05}" name="Place" dataDxfId="323"/>
    <tableColumn id="2" xr3:uid="{A6501FC5-15BD-4870-8103-840BF31597C2}" name="Points" dataDxfId="322"/>
    <tableColumn id="3" xr3:uid="{6C1E687E-753C-4236-A1C5-D706BE5700DC}" name="Last" dataDxfId="321"/>
    <tableColumn id="4" xr3:uid="{F0CFD119-94C0-4054-8907-4E20E1A2C31A}" name="First" dataDxfId="320"/>
    <tableColumn id="5" xr3:uid="{6B952806-EAE4-4AD7-BB5D-8113F429CB12}" name="Team" dataDxfId="319"/>
    <tableColumn id="6" xr3:uid="{C092CC62-23B2-4C05-B059-167D58565691}" name="Time" dataDxfId="318"/>
    <tableColumn id="7" xr3:uid="{D7AB8262-217E-4572-9245-CE445A0CF00E}" name="Category" dataDxfId="317"/>
  </tableColumns>
  <tableStyleInfo name="TableStyleLight8" showFirstColumn="0" showLastColumn="0" showRowStripes="1" showColumnStripes="0"/>
</table>
</file>

<file path=xl/tables/table1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2" xr:uid="{F9325BEB-51DD-42CF-8FD0-7FA522E7B2AE}" name="Table8496888107126145164183" displayName="Table8496888107126145164183" ref="A36:G37" totalsRowShown="0" headerRowDxfId="316" dataDxfId="315" tableBorderDxfId="314">
  <autoFilter ref="A36:G37" xr:uid="{327265BE-D992-426A-B3AB-F69BDF1C9F11}"/>
  <tableColumns count="7">
    <tableColumn id="1" xr3:uid="{3B3F24B9-7D83-4906-AE71-48662AFACCC8}" name="Place" dataDxfId="313"/>
    <tableColumn id="2" xr3:uid="{667663AA-DEEB-45F5-90B4-6FA697365DBF}" name="Points" dataDxfId="312"/>
    <tableColumn id="3" xr3:uid="{689E8514-BFD8-4E66-9C89-19D1109AFCEB}" name="Last" dataDxfId="311"/>
    <tableColumn id="4" xr3:uid="{23FABCEA-77C8-4E00-A7DB-726D70214CEF}" name="First" dataDxfId="310"/>
    <tableColumn id="5" xr3:uid="{2D889359-9A6A-4869-A82C-45AA050F9141}" name="Team" dataDxfId="309"/>
    <tableColumn id="6" xr3:uid="{17EAE411-8EE3-4450-A1F8-12381EFE9B01}" name="Time" dataDxfId="308"/>
    <tableColumn id="7" xr3:uid="{09709C0E-FB12-4A98-A16E-C754E759D71D}" name="Category" dataDxfId="307"/>
  </tableColumns>
  <tableStyleInfo name="TableStyleLight8" showFirstColumn="0" showLastColumn="0" showRowStripes="1" showColumnStripes="0"/>
</table>
</file>

<file path=xl/tables/table1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3" xr:uid="{FD7CAB19-138E-47A5-BB60-F265750ED96B}" name="Table9506989108127146165184" displayName="Table9506989108127146165184" ref="A39:H44" totalsRowShown="0" headerRowDxfId="306" dataDxfId="305" tableBorderDxfId="304">
  <autoFilter ref="A39:H44" xr:uid="{DEE8DB81-02A0-4B3D-955D-BF6B08106958}"/>
  <tableColumns count="8">
    <tableColumn id="1" xr3:uid="{4D509168-2005-4104-9330-F1CF100BECC3}" name="Place" dataDxfId="303"/>
    <tableColumn id="2" xr3:uid="{F2EE81E0-8EDD-444F-84A1-008F0B6952CE}" name="Points" dataDxfId="302">
      <calculatedColumnFormula>IF(H40=1,MAX(21-A40,0),0)</calculatedColumnFormula>
    </tableColumn>
    <tableColumn id="3" xr3:uid="{ED5A4B31-12B7-4549-A620-23CE70D3EBBB}" name="Last" dataDxfId="301"/>
    <tableColumn id="4" xr3:uid="{D104F514-CC50-4439-9092-8313F1A602CA}" name="First" dataDxfId="300"/>
    <tableColumn id="5" xr3:uid="{0167AF19-6253-4BD4-93E3-A7397FD25F87}" name="Team" dataDxfId="299"/>
    <tableColumn id="6" xr3:uid="{5328DAC5-2A50-41ED-9190-DC070531D942}" name="Time" dataDxfId="298"/>
    <tableColumn id="7" xr3:uid="{295969B9-F3DF-4907-B792-929799AF061B}" name="Category" dataDxfId="297"/>
    <tableColumn id="8" xr3:uid="{7E97D11F-7B72-4676-A39F-21FBDD72D9A4}" name="Column1" dataDxfId="296">
      <calculatedColumnFormula>COUNTIF(ValidTeams[],E40)</calculatedColumnFormula>
    </tableColumn>
  </tableColumns>
  <tableStyleInfo name="TableStyleLight8" showFirstColumn="0" showLastColumn="0" showRowStripes="1" showColumnStripes="0"/>
</table>
</file>

<file path=xl/tables/table1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4" xr:uid="{30B5D17D-83F5-4C8A-9C59-A94909196937}" name="Table10517090109128147166185" displayName="Table10517090109128147166185" ref="A46:H51" totalsRowShown="0" headerRowDxfId="295" dataDxfId="294" tableBorderDxfId="293">
  <autoFilter ref="A46:H51" xr:uid="{D94FE680-30EE-468C-B0C7-D95D6D58BE3A}"/>
  <tableColumns count="8">
    <tableColumn id="1" xr3:uid="{8F67E64C-B060-43E2-B461-1F61E06B2F97}" name="Place" dataDxfId="292"/>
    <tableColumn id="2" xr3:uid="{562E0810-B99A-4E90-AFE5-9C5CAAC066CB}" name="Points" dataDxfId="291">
      <calculatedColumnFormula>IF(H47=1,MAX(21-A47,0),0)</calculatedColumnFormula>
    </tableColumn>
    <tableColumn id="3" xr3:uid="{05BB2072-3695-4B58-AAA7-84E18E4562A6}" name="Last" dataDxfId="290"/>
    <tableColumn id="4" xr3:uid="{86901BBC-9AB7-4C0D-9473-CC670114E465}" name="First" dataDxfId="289"/>
    <tableColumn id="5" xr3:uid="{FFD76C10-B9F3-493F-81F2-77AC77C4B723}" name="Team" dataDxfId="288"/>
    <tableColumn id="6" xr3:uid="{7A41A75B-6949-4FB5-90C2-16E1743F28B9}" name="Time" dataDxfId="287"/>
    <tableColumn id="7" xr3:uid="{190D5985-FC66-4967-A015-51DB7D30B88D}" name="Category" dataDxfId="286"/>
    <tableColumn id="8" xr3:uid="{589C72FF-6B81-4B31-8283-A4282018F0C0}" name="Column1" dataDxfId="285">
      <calculatedColumnFormula>COUNTIF(ValidTeams[],E47)</calculatedColumnFormula>
    </tableColumn>
  </tableColumns>
  <tableStyleInfo name="TableStyleLight8" showFirstColumn="0" showLastColumn="0" showRowStripes="1" showColumnStripes="0"/>
</table>
</file>

<file path=xl/tables/table1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5" xr:uid="{6AF4CA70-CF28-4CEF-ABD6-F0948AA11CD2}" name="Table11527191110129148167186" displayName="Table11527191110129148167186" ref="A53:H67" totalsRowShown="0" headerRowDxfId="284" dataDxfId="283" tableBorderDxfId="282">
  <autoFilter ref="A53:H67" xr:uid="{8DB3CF6A-DE15-42E5-9DE4-8E377BFEF7FB}"/>
  <tableColumns count="8">
    <tableColumn id="1" xr3:uid="{3A24ED09-EC73-445D-9F25-4927E7B52653}" name="Place" dataDxfId="281"/>
    <tableColumn id="2" xr3:uid="{823E0189-7D23-45E3-8A86-1208009A9232}" name="Points" dataDxfId="280">
      <calculatedColumnFormula>IF(H54=1,MAX(21-A54,0),0)</calculatedColumnFormula>
    </tableColumn>
    <tableColumn id="3" xr3:uid="{702F8752-A9B3-45E4-AA2A-7E03CFCAAA63}" name="Last" dataDxfId="279"/>
    <tableColumn id="4" xr3:uid="{B09C3757-40A7-4318-84E2-4589381C502B}" name="First" dataDxfId="278"/>
    <tableColumn id="5" xr3:uid="{45F65C64-6469-465B-B2F7-2D259B71E4BC}" name="Team" dataDxfId="277"/>
    <tableColumn id="6" xr3:uid="{9E5AB63C-7A8E-4A29-9933-178048A3317F}" name="Time" dataDxfId="276"/>
    <tableColumn id="7" xr3:uid="{844D2089-D962-43E3-85FE-ED94C9CE5BFC}" name="Category" dataDxfId="275"/>
    <tableColumn id="8" xr3:uid="{029AFA88-ECD5-4EE6-980A-9B434DA6EDAD}" name="Column1" dataDxfId="274">
      <calculatedColumnFormula>COUNTIF(ValidTeams[],E54)</calculatedColumnFormula>
    </tableColumn>
  </tableColumns>
  <tableStyleInfo name="TableStyleLight8" showFirstColumn="0" showLastColumn="0" showRowStripes="1" showColumnStripes="0"/>
</table>
</file>

<file path=xl/tables/table1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6" xr:uid="{17AF67A4-7A79-4163-BE07-7EF24516D246}" name="Table12537292111130149168187" displayName="Table12537292111130149168187" ref="A69:H76" totalsRowShown="0" headerRowDxfId="273" dataDxfId="272" tableBorderDxfId="271">
  <autoFilter ref="A69:H76" xr:uid="{11C18E5B-2665-42D7-868D-9FA168F847E1}"/>
  <tableColumns count="8">
    <tableColumn id="1" xr3:uid="{B7EDAC27-C164-4CB2-B23F-575D82E88F6B}" name="Place" dataDxfId="270"/>
    <tableColumn id="2" xr3:uid="{24EEADB6-3EEB-4D94-BEBC-DFC79597FD06}" name="Points" dataDxfId="269">
      <calculatedColumnFormula>IF(H70=1,MAX(21-A70,0),0)</calculatedColumnFormula>
    </tableColumn>
    <tableColumn id="3" xr3:uid="{C615F826-AD1A-43FF-BC3D-7D9905DF98C7}" name="Last" dataDxfId="268"/>
    <tableColumn id="4" xr3:uid="{F2371458-A8A8-4443-BF34-D1B0A37714C9}" name="First" dataDxfId="267"/>
    <tableColumn id="5" xr3:uid="{41E1015C-DF32-4867-BAF8-740AC1239D4D}" name="Team" dataDxfId="266"/>
    <tableColumn id="6" xr3:uid="{F0E2F9BD-9F5A-4175-BE83-54798DA9137A}" name="Time" dataDxfId="265"/>
    <tableColumn id="7" xr3:uid="{9FF23DA6-0310-406A-A6FF-622F119BE9DB}" name="Category" dataDxfId="264"/>
    <tableColumn id="8" xr3:uid="{CD5720FC-FD1C-4091-8E0B-D62B46821D79}" name="Column1" dataDxfId="263">
      <calculatedColumnFormula>COUNTIF(ValidTeams[],E70)</calculatedColumnFormula>
    </tableColumn>
  </tableColumns>
  <tableStyleInfo name="TableStyleLight8" showFirstColumn="0" showLastColumn="0" showRowStripes="1" showColumnStripes="0"/>
</table>
</file>

<file path=xl/tables/table1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7" xr:uid="{5C140E6E-D36A-4895-BC1C-239E9E53EB7E}" name="Table13547393112131150169188" displayName="Table13547393112131150169188" ref="A78:H83" totalsRowShown="0" headerRowDxfId="262" dataDxfId="261" tableBorderDxfId="260">
  <autoFilter ref="A78:H83" xr:uid="{5C62EA4D-B4AF-459A-9C78-1DDC91C11162}"/>
  <tableColumns count="8">
    <tableColumn id="1" xr3:uid="{99E1E8F8-4506-4796-A94B-C2F3D1CCFF91}" name="Place" dataDxfId="259"/>
    <tableColumn id="2" xr3:uid="{4B67C6BC-00F0-4778-A917-3D1CE842AFBC}" name="Points" dataDxfId="258">
      <calculatedColumnFormula>IF(H79=1,MAX(21-A79,0),0)</calculatedColumnFormula>
    </tableColumn>
    <tableColumn id="3" xr3:uid="{A6474142-C8F3-4BAE-B091-1EFB4C703E54}" name="Last" dataDxfId="257"/>
    <tableColumn id="4" xr3:uid="{9372BAE9-1055-4336-9C9D-9D69B357C5CB}" name="First" dataDxfId="256"/>
    <tableColumn id="5" xr3:uid="{FCD22839-79AC-4449-986B-CA38184D5B98}" name="Team" dataDxfId="255"/>
    <tableColumn id="6" xr3:uid="{226F5DA8-6F0B-4533-8965-0A22E0A648B1}" name="Time" dataDxfId="254"/>
    <tableColumn id="7" xr3:uid="{4C27DA12-9421-4BA4-B36A-823C07B229B9}" name="Category" dataDxfId="253"/>
    <tableColumn id="8" xr3:uid="{71616BFF-CCC9-4E04-8EDA-62A09F687FF3}" name="Column1" dataDxfId="252">
      <calculatedColumnFormula>COUNTIF(ValidTeams[],E79)</calculatedColumnFormula>
    </tableColumn>
  </tableColumns>
  <tableStyleInfo name="TableStyleLight8" showFirstColumn="0" showLastColumn="0" showRowStripes="1" showColumnStripes="0"/>
</table>
</file>

<file path=xl/tables/table1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8" xr:uid="{9C815B23-CB72-4614-8BB5-EE11A1C97BFC}" name="Table14557494113132151170189" displayName="Table14557494113132151170189" ref="A85:H93" totalsRowShown="0" headerRowDxfId="251" dataDxfId="250" tableBorderDxfId="249">
  <autoFilter ref="A85:H93" xr:uid="{26DCB4CA-2DE7-4A48-9E63-A3B293850C38}"/>
  <tableColumns count="8">
    <tableColumn id="1" xr3:uid="{3897142F-E6D2-450E-A5E3-4332EBF7222C}" name="Place" dataDxfId="248"/>
    <tableColumn id="2" xr3:uid="{F23BAF22-06EC-4D42-B017-285B461D8E94}" name="Points" dataDxfId="247">
      <calculatedColumnFormula>IF(H86=1,MAX(21-A86,0),0)</calculatedColumnFormula>
    </tableColumn>
    <tableColumn id="3" xr3:uid="{CB45564F-AD5C-43A3-9A69-08B3AAF2D2A8}" name="Last" dataDxfId="246"/>
    <tableColumn id="4" xr3:uid="{D364806E-F3CD-4849-AFDD-1D7A94D6F692}" name="First" dataDxfId="245"/>
    <tableColumn id="5" xr3:uid="{B00191E4-376C-4421-BED6-C096900F1E7F}" name="Team" dataDxfId="244"/>
    <tableColumn id="6" xr3:uid="{97831373-ED0E-4E9E-8AD1-1A629D774CF1}" name="Time" dataDxfId="243"/>
    <tableColumn id="7" xr3:uid="{DBC1974E-A980-4BA8-9F2B-1C13609C4154}" name="Category" dataDxfId="242"/>
    <tableColumn id="8" xr3:uid="{6B7841F0-45BE-4BBD-BE5A-C90D1EA4964B}" name="Column1" dataDxfId="241">
      <calculatedColumnFormula>COUNTIF(ValidTeams[],E86)</calculatedColumnFormula>
    </tableColumn>
  </tableColumns>
  <tableStyleInfo name="TableStyleLight8" showFirstColumn="0" showLastColumn="0" showRowStripes="1" showColumnStripes="0"/>
</table>
</file>

<file path=xl/tables/table1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9" xr:uid="{0CE10A05-2406-478B-8F80-5C6DC35596C9}" name="Table15567595114133152171190" displayName="Table15567595114133152171190" ref="A95:H100" totalsRowShown="0" headerRowDxfId="240" dataDxfId="239" tableBorderDxfId="238">
  <autoFilter ref="A95:H100" xr:uid="{C613AFCE-296E-4B0B-BEBE-924A468844E2}"/>
  <tableColumns count="8">
    <tableColumn id="1" xr3:uid="{C763B42A-DDC8-498D-93B0-1F34A88507AA}" name="Place" dataDxfId="237"/>
    <tableColumn id="2" xr3:uid="{3ABDFAFB-3ECE-4CAA-9BC2-6977BFD14B3C}" name="Points" dataDxfId="236">
      <calculatedColumnFormula>IF(H96=1,MAX(21-A96,0),0)</calculatedColumnFormula>
    </tableColumn>
    <tableColumn id="3" xr3:uid="{90C80462-96A0-4CAC-BDDF-A042417A6211}" name="Last" dataDxfId="235"/>
    <tableColumn id="4" xr3:uid="{AA5A1D91-E6DA-4EA6-A2F3-6546295ECDAB}" name="First" dataDxfId="234"/>
    <tableColumn id="5" xr3:uid="{E655D319-3B11-4333-AE6C-0380177E5DF6}" name="Team" dataDxfId="233"/>
    <tableColumn id="6" xr3:uid="{58663E42-2B6E-4680-9F7F-653A63D170B7}" name="Time" dataDxfId="232"/>
    <tableColumn id="7" xr3:uid="{00C387CE-948B-4C58-9EEC-FB9E44D983D0}" name="Category" dataDxfId="231"/>
    <tableColumn id="8" xr3:uid="{588406A5-A2E0-4C79-B432-C2EA177AF97F}" name="Column1" dataDxfId="230">
      <calculatedColumnFormula>COUNTIF(ValidTeams[],E96)</calculatedColumnFormula>
    </tableColumn>
  </tableColumns>
  <tableStyleInfo name="TableStyleLight8" showFirstColumn="0" showLastColumn="0" showRowStripes="1" showColumnStripes="0"/>
</table>
</file>

<file path=xl/tables/table1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0" xr:uid="{68DCDE73-CCAD-4FD2-AE03-3D4E6362A6F3}" name="Table16577696115134153172191" displayName="Table16577696115134153172191" ref="A102:H107" totalsRowShown="0" headerRowDxfId="229" dataDxfId="228" tableBorderDxfId="227">
  <autoFilter ref="A102:H107" xr:uid="{633EC92F-01AA-4268-8AC0-ADD3DB9BC5E8}"/>
  <tableColumns count="8">
    <tableColumn id="1" xr3:uid="{477AAFE9-B077-4DC7-B439-08C6C9E0945F}" name="Place" dataDxfId="226"/>
    <tableColumn id="2" xr3:uid="{0F8AE2EA-289D-4365-BFCD-C19BD83C5B2B}" name="Points" dataDxfId="225">
      <calculatedColumnFormula>IF(H103=1,MAX(21-A103,0),0)</calculatedColumnFormula>
    </tableColumn>
    <tableColumn id="3" xr3:uid="{D54F511A-5D94-4FDE-A508-09C5A0ED58FF}" name="Last" dataDxfId="224"/>
    <tableColumn id="4" xr3:uid="{74301CF9-F698-4C35-9B49-746FEB040978}" name="First" dataDxfId="223"/>
    <tableColumn id="5" xr3:uid="{A44E65F1-422B-4834-A322-394301F7E005}" name="Team" dataDxfId="222"/>
    <tableColumn id="6" xr3:uid="{FF81C2DC-0C15-4FAC-8DED-C95160384619}" name="Time" dataDxfId="221"/>
    <tableColumn id="7" xr3:uid="{4EBC1C17-887F-4C65-A766-973984231D2D}" name="Category" dataDxfId="220"/>
    <tableColumn id="8" xr3:uid="{7DA7F3C7-D783-4F0D-ACE5-DA81B7D1153C}" name="Column1" dataDxfId="219">
      <calculatedColumnFormula>COUNTIF(ValidTeams[],E103)</calculatedColumnFormula>
    </tableColumn>
  </tableColumns>
  <tableStyleInfo name="TableStyleLight8" showFirstColumn="0" showLastColumn="0" showRowStripes="1" showColumnStripes="0"/>
</table>
</file>

<file path=xl/tables/table1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1" xr:uid="{E14C3C07-DA8B-457D-AF01-E6D4F2B86A38}" name="Table17587797116135154173192" displayName="Table17587797116135154173192" ref="A109:H112" totalsRowShown="0" headerRowDxfId="218" dataDxfId="217" tableBorderDxfId="216">
  <autoFilter ref="A109:H112" xr:uid="{5B01C281-9700-4C4F-829B-AC07CD26C4E6}"/>
  <tableColumns count="8">
    <tableColumn id="1" xr3:uid="{D69BB905-AF63-4DDD-9D16-5C968EC122C5}" name="Place" dataDxfId="215"/>
    <tableColumn id="2" xr3:uid="{12865617-E1F0-4047-A7CC-C51359484C93}" name="Points" dataDxfId="214">
      <calculatedColumnFormula>IF(H110=1,MAX(21-A110,0),0)</calculatedColumnFormula>
    </tableColumn>
    <tableColumn id="3" xr3:uid="{6672C2D8-FFC4-49E2-84EA-58B086F5F43F}" name="Last" dataDxfId="213"/>
    <tableColumn id="4" xr3:uid="{FA643C41-37E5-4B50-A94A-5102BB07E357}" name="First" dataDxfId="212"/>
    <tableColumn id="5" xr3:uid="{A95B98DE-F3E4-4F24-9081-4DCBA1572C32}" name="Team" dataDxfId="211"/>
    <tableColumn id="6" xr3:uid="{F79A5890-7888-4530-834A-DB6BCDDBF117}" name="Time" dataDxfId="210"/>
    <tableColumn id="7" xr3:uid="{34BDB991-A715-485A-94E4-ED537A15D95E}" name="Category" dataDxfId="209"/>
    <tableColumn id="8" xr3:uid="{B41009FE-EC49-44E9-A417-D8CA82D1EEF2}" name="Column1" dataDxfId="208">
      <calculatedColumnFormula>COUNTIF(ValidTeams[],E110)</calculatedColumnFormula>
    </tableColumn>
  </tableColumns>
  <tableStyleInfo name="TableStyleLight8" showFirstColumn="0" showLastColumn="0" showRowStripes="1" showColumnStripes="0"/>
</table>
</file>

<file path=xl/tables/table1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2" xr:uid="{0CE161F1-05A0-42BC-8535-D168E5CBE092}" name="Table20597898117136155174193" displayName="Table20597898117136155174193" ref="A114:H122" totalsRowShown="0" headerRowDxfId="207" dataDxfId="206" tableBorderDxfId="205">
  <autoFilter ref="A114:H122" xr:uid="{DA1AAF35-E6EB-4EFD-A0FD-8BF58AF120BE}"/>
  <tableColumns count="8">
    <tableColumn id="1" xr3:uid="{CDCF4F6C-8C66-403B-AA78-5D48F436BAC0}" name="Place" dataDxfId="204"/>
    <tableColumn id="2" xr3:uid="{6739C271-867C-4F83-A7A6-57E18B5336CD}" name="Points" dataDxfId="203">
      <calculatedColumnFormula>IF(H115=1,MAX(21-A115,0),0)</calculatedColumnFormula>
    </tableColumn>
    <tableColumn id="3" xr3:uid="{73007C1C-2679-4F3A-A75D-2F5E854CD9C3}" name="Last" dataDxfId="202"/>
    <tableColumn id="4" xr3:uid="{9AF4A7D8-4AE8-4252-9CA5-601CF98F32FE}" name="First" dataDxfId="201"/>
    <tableColumn id="5" xr3:uid="{CF5711A1-F1E1-430E-9F6D-0BF1A810A614}" name="Team" dataDxfId="200"/>
    <tableColumn id="6" xr3:uid="{1CAAD61A-F164-411A-AD8A-E39B14338005}" name="Time" dataDxfId="199"/>
    <tableColumn id="7" xr3:uid="{9D71A67B-954A-432A-9546-BE389C1D9BF3}" name="Category" dataDxfId="198"/>
    <tableColumn id="8" xr3:uid="{E24EE5D2-58E8-4AE1-BA6B-4BE3BF9EDFC7}" name="Column1" dataDxfId="197">
      <calculatedColumnFormula>COUNTIF(ValidTeams[],E115)</calculatedColumnFormula>
    </tableColumn>
  </tableColumns>
  <tableStyleInfo name="TableStyleLight8" showFirstColumn="0" showLastColumn="0" showRowStripes="1" showColumnStripes="0"/>
</table>
</file>

<file path=xl/tables/table1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3" xr:uid="{5A65B9AB-938E-45A2-AE03-8866644D2E96}" name="Table21607999118137156175194" displayName="Table21607999118137156175194" ref="A124:H128" totalsRowShown="0" headerRowDxfId="196" dataDxfId="195" tableBorderDxfId="194">
  <autoFilter ref="A124:H128" xr:uid="{9D8B37F4-8CF3-43C5-9AB4-D32258C99D79}"/>
  <sortState ref="A125:H128">
    <sortCondition ref="F124:F128"/>
  </sortState>
  <tableColumns count="8">
    <tableColumn id="1" xr3:uid="{17E44871-7228-432B-A704-FD9285F1A363}" name="Place" dataDxfId="193"/>
    <tableColumn id="2" xr3:uid="{88E0B568-22C8-4E76-AF88-40BFE477658B}" name="Points" dataDxfId="192">
      <calculatedColumnFormula>IF(H125=1,MAX(21-A125,0),0)</calculatedColumnFormula>
    </tableColumn>
    <tableColumn id="3" xr3:uid="{F29A888A-6CFD-4FD5-81BF-7BBDCF0BE740}" name="Last" dataDxfId="191"/>
    <tableColumn id="4" xr3:uid="{1406978D-2C83-4DC8-B457-C8B0EF72A52D}" name="First" dataDxfId="190"/>
    <tableColumn id="5" xr3:uid="{C6608728-CC8E-4BED-86F9-59F03DC64FB7}" name="Team" dataDxfId="189"/>
    <tableColumn id="6" xr3:uid="{A2BAF9B5-CC91-4338-826F-A42615257E60}" name="Time" dataDxfId="188"/>
    <tableColumn id="7" xr3:uid="{F6466B0F-BCB7-48B3-961F-248EACE836A6}" name="Category" dataDxfId="187"/>
    <tableColumn id="8" xr3:uid="{2D4CE0C2-47F9-4374-A4C7-CFB747332741}" name="Column1" dataDxfId="186">
      <calculatedColumnFormula>COUNTIF(ValidTeams[],E125)</calculatedColumnFormula>
    </tableColumn>
  </tableColumns>
  <tableStyleInfo name="TableStyleLight8" showFirstColumn="0" showLastColumn="0" showRowStripes="1" showColumnStripes="0"/>
</table>
</file>

<file path=xl/tables/table1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4" xr:uid="{B11DC7B4-220D-4802-A6BD-F57EE790E080}" name="Table1196181100119138157176195" displayName="Table1196181100119138157176195" ref="A1:H10" totalsRowShown="0">
  <autoFilter ref="A1:H10" xr:uid="{2BE81515-F432-403B-B177-0191F3B6EF4A}"/>
  <tableColumns count="8">
    <tableColumn id="1" xr3:uid="{77D9A84F-908B-4056-A034-34DB64E79A1C}" name="Place"/>
    <tableColumn id="7" xr3:uid="{4EEC6EBD-17EB-4FB3-81FA-C4AAA6E3D207}" name="Points" dataDxfId="184">
      <calculatedColumnFormula>IF(H2=1,MAX(21-A2,0),0)</calculatedColumnFormula>
    </tableColumn>
    <tableColumn id="2" xr3:uid="{A5480FEC-9F91-4A75-9270-617A1E1FF47A}" name="Last"/>
    <tableColumn id="3" xr3:uid="{22AE0B55-86D1-4DD0-86D9-AC7597C343FD}" name="First"/>
    <tableColumn id="4" xr3:uid="{49E60975-4A1E-4DDA-B4CF-7112BBCDDFA7}" name="Team"/>
    <tableColumn id="5" xr3:uid="{AF5A5FCF-40C0-469E-9DBF-99A2DF101843}" name="Time" dataDxfId="183"/>
    <tableColumn id="6" xr3:uid="{882654B5-BAF1-4B5C-8516-9381C10F550F}" name="Category"/>
    <tableColumn id="8" xr3:uid="{FBFDDD6A-AEDF-436E-9F1B-95CC1BA3B3DA}" name="Valid" dataDxfId="182">
      <calculatedColumnFormula>COUNTIF(ValidTeams[],E2)</calculatedColumnFormula>
    </tableColumn>
  </tableColumns>
  <tableStyleInfo name="TableStyleLight8" showFirstColumn="0" showLastColumn="0" showRowStripes="1" showColumnStripes="0"/>
</table>
</file>

<file path=xl/tables/table1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5" xr:uid="{BAA17C37-35D5-4475-B803-5FDECE974C5D}" name="Table2206282101120139158177196" displayName="Table2206282101120139158177196" ref="A12:H18" totalsRowShown="0">
  <autoFilter ref="A12:H18" xr:uid="{C25A9C4A-FB27-47B1-9547-9602F89B7537}"/>
  <sortState ref="A13:H16">
    <sortCondition ref="F12:F16"/>
  </sortState>
  <tableColumns count="8">
    <tableColumn id="1" xr3:uid="{C77616E2-6DF4-487C-90CA-A16721673935}" name="Place"/>
    <tableColumn id="7" xr3:uid="{0D10BBA1-FBC0-41DC-8095-1C0BCBC48087}" name="Points" dataDxfId="181">
      <calculatedColumnFormula>IF(H13=1,MAX(21-A13,0),0)</calculatedColumnFormula>
    </tableColumn>
    <tableColumn id="2" xr3:uid="{98C26EFC-6A9F-4A02-937F-A6AE97A74C29}" name="Last"/>
    <tableColumn id="3" xr3:uid="{83888A2D-98D9-4E1E-B078-82C928C03F5C}" name="First"/>
    <tableColumn id="4" xr3:uid="{A18DF721-E8ED-4287-BAF8-977DDC7F309F}" name="Team"/>
    <tableColumn id="5" xr3:uid="{3371F2BE-7BB3-430E-ADA8-73C9E03DB042}" name="Time" dataDxfId="180"/>
    <tableColumn id="6" xr3:uid="{007085BD-F948-4C24-B650-974FB152676A}" name="Category"/>
    <tableColumn id="8" xr3:uid="{028BAE95-7F2C-4CDB-BBB8-11A656D8976D}" name="Column1" dataDxfId="179">
      <calculatedColumnFormula>COUNTIF(ValidTeams[],E13)</calculatedColumnFormula>
    </tableColumn>
  </tableColumns>
  <tableStyleInfo name="TableStyleLight8" showFirstColumn="0" showLastColumn="0" showRowStripes="1" showColumnStripes="0"/>
</table>
</file>

<file path=xl/tables/table1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6" xr:uid="{FC86AB5F-927E-4CAD-9A93-C46F6D10B206}" name="Table3446383102121140159178197" displayName="Table3446383102121140159178197" ref="A20:G23" totalsRowShown="0">
  <autoFilter ref="A20:G23" xr:uid="{B49FE676-3971-4254-B3CE-8A0E8A4B0CB6}"/>
  <tableColumns count="7">
    <tableColumn id="1" xr3:uid="{1D69A096-96EF-4950-87E4-46FE0123A452}" name="Place"/>
    <tableColumn id="2" xr3:uid="{FE78678F-027E-4BEC-8883-BCFD2A30B613}" name="Points"/>
    <tableColumn id="3" xr3:uid="{17C1F524-0D9E-44C6-8137-13DD29882E79}" name="Last"/>
    <tableColumn id="4" xr3:uid="{56FD430A-420C-459D-B4B3-E5E38FAA464B}" name="First"/>
    <tableColumn id="5" xr3:uid="{E070B2B0-E887-4277-85D0-6955003D5278}" name="Team" dataDxfId="178"/>
    <tableColumn id="6" xr3:uid="{52D36929-8325-476C-8F4D-604831D003DD}" name="Time" dataDxfId="177"/>
    <tableColumn id="7" xr3:uid="{950AC143-32B7-4726-A51A-12CF02C9BDAF}" name="Category"/>
  </tableColumns>
  <tableStyleInfo name="TableStyleLight8" showFirstColumn="0" showLastColumn="0" showRowStripes="1" showColumnStripes="0"/>
</table>
</file>

<file path=xl/tables/table1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7" xr:uid="{9437985E-695E-42ED-A0CF-ADA866B4FEF4}" name="Table4456484103122141160179198" displayName="Table4456484103122141160179198" ref="A24:G26" totalsRowShown="0" headerRowDxfId="176" dataDxfId="175" tableBorderDxfId="174">
  <autoFilter ref="A24:G26" xr:uid="{7EF120C7-4833-43B1-A932-0A569965E78A}"/>
  <tableColumns count="7">
    <tableColumn id="1" xr3:uid="{9481131D-5B81-4406-AA4F-F4E00FCE6AD9}" name="Place" dataDxfId="173"/>
    <tableColumn id="2" xr3:uid="{1476946B-1BFF-4CA2-B402-3C6CB582AF5E}" name="Points" dataDxfId="172"/>
    <tableColumn id="3" xr3:uid="{7F10B6EC-600C-43F4-BA4C-DD7633FC562D}" name="Last" dataDxfId="171"/>
    <tableColumn id="4" xr3:uid="{E4B3FAE0-96D8-4C29-B9A1-F43C6892FF54}" name="First" dataDxfId="170"/>
    <tableColumn id="5" xr3:uid="{1FBBBFBF-B166-4757-B2CB-9E9E82F6F0EE}" name="Team" dataDxfId="169"/>
    <tableColumn id="6" xr3:uid="{4B68110E-CA15-43C7-B59F-03714AE49EDA}" name="Time" dataDxfId="168"/>
    <tableColumn id="7" xr3:uid="{6D9A07DA-13E3-4744-B225-754B15614D33}" name="Category" dataDxfId="167"/>
  </tableColumns>
  <tableStyleInfo name="TableStyleLight8" showFirstColumn="0" showLastColumn="0" showRowStripes="1" showColumnStripes="0"/>
</table>
</file>

<file path=xl/tables/table1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8" xr:uid="{569EF719-3A3F-4FD8-A36F-5965E8190CA9}" name="Table5466585104123142161180199" displayName="Table5466585104123142161180199" ref="A28:G30" totalsRowShown="0" headerRowDxfId="166" dataDxfId="165" tableBorderDxfId="164">
  <autoFilter ref="A28:G30" xr:uid="{45671861-392C-46D5-8949-81D3A5BB3FB1}"/>
  <tableColumns count="7">
    <tableColumn id="1" xr3:uid="{00F42BD2-D329-493C-9B42-DE52638D0FB3}" name="Place" dataDxfId="163"/>
    <tableColumn id="2" xr3:uid="{EB22F09E-B4AF-4FB2-940F-58CB4E75B8D5}" name="Points" dataDxfId="162"/>
    <tableColumn id="3" xr3:uid="{4725CFF3-34AB-46C2-A3AA-CD0122B31A97}" name="Last" dataDxfId="161"/>
    <tableColumn id="4" xr3:uid="{F1A0605A-EA6C-4D8E-B659-4753573985F0}" name="First" dataDxfId="160"/>
    <tableColumn id="5" xr3:uid="{D8E3A6A6-AC74-4594-A2DD-F8B2328A6A07}" name="Team" dataDxfId="159"/>
    <tableColumn id="6" xr3:uid="{7303824A-6ED7-4F05-AE99-C1C4139F136B}" name="Time" dataDxfId="158"/>
    <tableColumn id="7" xr3:uid="{B8EC36EC-AC24-4F32-B538-5E77F7C9B0BD}" name="Category" dataDxfId="157"/>
  </tableColumns>
  <tableStyleInfo name="TableStyleLight8" showFirstColumn="0" showLastColumn="0" showRowStripes="1" showColumnStripes="0"/>
</table>
</file>

<file path=xl/tables/table1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9" xr:uid="{51114264-C810-466B-9FF0-F0791B55996C}" name="Table6476686105124143162181200" displayName="Table6476686105124143162181200" ref="A32:G35" totalsRowShown="0" headerRowDxfId="156" dataDxfId="155" tableBorderDxfId="154">
  <autoFilter ref="A32:G35" xr:uid="{DD4C0487-3C1D-48CE-889D-00B3DCBBD5DC}"/>
  <tableColumns count="7">
    <tableColumn id="1" xr3:uid="{0B4F4296-A445-40C6-9CC5-92A0F3772861}" name="Place" dataDxfId="153"/>
    <tableColumn id="2" xr3:uid="{4FC29AAF-F079-4336-AE0D-5A02E571B678}" name="Points" dataDxfId="152"/>
    <tableColumn id="3" xr3:uid="{164832DA-D23C-4756-9D92-CD9C663893C8}" name="Last" dataDxfId="151"/>
    <tableColumn id="4" xr3:uid="{41A3816C-6FF9-498E-82D6-496E243C96F0}" name="First" dataDxfId="150"/>
    <tableColumn id="5" xr3:uid="{B35BDB4B-9B86-467D-AC93-25133EEDAA75}" name="Team" dataDxfId="149"/>
    <tableColumn id="6" xr3:uid="{EC356F25-9114-4593-B535-92CAAEDBCD55}" name="Time" dataDxfId="148"/>
    <tableColumn id="7" xr3:uid="{97267B33-CA6E-44FD-BA5B-10AA4CADB336}" name="Category" dataDxfId="147"/>
  </tableColumns>
  <tableStyleInfo name="TableStyleLight8" showFirstColumn="0" showLastColumn="0" showRowStripes="1" showColumnStripes="0"/>
</table>
</file>

<file path=xl/tables/table1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0" xr:uid="{8DD30469-FB85-482D-975A-115A07692C26}" name="Table7486787106125144163182201" displayName="Table7486787106125144163182201" ref="A37:G38" totalsRowShown="0" headerRowDxfId="146" dataDxfId="145" tableBorderDxfId="144">
  <autoFilter ref="A37:G38" xr:uid="{AFB287A9-7DDA-476C-B93D-7F22CBF72CDB}"/>
  <tableColumns count="7">
    <tableColumn id="1" xr3:uid="{D7936670-D1B6-429C-9747-9BEF3364AD51}" name="Place" dataDxfId="143"/>
    <tableColumn id="2" xr3:uid="{5A3295D3-FFBF-4B31-8CF7-16C05A3E625C}" name="Points" dataDxfId="142"/>
    <tableColumn id="3" xr3:uid="{83BC0798-9766-48FD-96D5-24B793C5E46E}" name="Last" dataDxfId="141"/>
    <tableColumn id="4" xr3:uid="{7EFE1AE7-85C1-4E71-9910-70DAB00637D2}" name="First" dataDxfId="140"/>
    <tableColumn id="5" xr3:uid="{97EBBBBD-84C6-4DF9-9DE9-8CBCAE3B3633}" name="Team" dataDxfId="139"/>
    <tableColumn id="6" xr3:uid="{32CA5DFC-C282-4D23-9A98-2944B3109C25}" name="Time" dataDxfId="138"/>
    <tableColumn id="7" xr3:uid="{199796AF-BC9E-4FB6-A5E6-879FB3618E2C}" name="Category" dataDxfId="137"/>
  </tableColumns>
  <tableStyleInfo name="TableStyleLight8" showFirstColumn="0" showLastColumn="0" showRowStripes="1" showColumnStripes="0"/>
</table>
</file>

<file path=xl/tables/table1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1" xr:uid="{95E47C5A-39CF-4ACB-A144-2AEB400F2316}" name="Table8496888107126145164183202" displayName="Table8496888107126145164183202" ref="A40:G41" totalsRowShown="0" headerRowDxfId="136" dataDxfId="135" tableBorderDxfId="134">
  <autoFilter ref="A40:G41" xr:uid="{327265BE-D992-426A-B3AB-F69BDF1C9F11}"/>
  <tableColumns count="7">
    <tableColumn id="1" xr3:uid="{D59E8FAF-0E83-466D-AE5B-A71BF5FA070C}" name="Place" dataDxfId="133"/>
    <tableColumn id="2" xr3:uid="{3D9BE147-A39D-4C88-916A-C35131E3BE66}" name="Points" dataDxfId="132"/>
    <tableColumn id="3" xr3:uid="{DF1B4F7E-1F3E-4D1B-91B5-ABC5136F6640}" name="Last" dataDxfId="131"/>
    <tableColumn id="4" xr3:uid="{5C27C60C-13CC-4E3B-B898-F4A8EBDBE15C}" name="First" dataDxfId="130"/>
    <tableColumn id="5" xr3:uid="{2FFFE939-9E04-4EFD-9560-924586011DB3}" name="Team" dataDxfId="129"/>
    <tableColumn id="6" xr3:uid="{65E27FD1-2505-4735-A00E-E8FE40FA2B94}" name="Time" dataDxfId="128"/>
    <tableColumn id="7" xr3:uid="{85A306EF-356F-4674-B7E8-23201D44055F}" name="Category" dataDxfId="127"/>
  </tableColumns>
  <tableStyleInfo name="TableStyleLight8" showFirstColumn="0" showLastColumn="0" showRowStripes="1" showColumnStripes="0"/>
</table>
</file>

<file path=xl/tables/table1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2" xr:uid="{C81F09A7-9A07-4EB0-9080-CF409D8A3ACB}" name="Table9506989108127146165184203" displayName="Table9506989108127146165184203" ref="A43:H48" totalsRowShown="0" headerRowDxfId="126" dataDxfId="125" tableBorderDxfId="124">
  <autoFilter ref="A43:H48" xr:uid="{DEE8DB81-02A0-4B3D-955D-BF6B08106958}"/>
  <tableColumns count="8">
    <tableColumn id="1" xr3:uid="{8FF8993E-BFC7-488A-B22E-810642CBB24C}" name="Place" dataDxfId="123"/>
    <tableColumn id="2" xr3:uid="{343A46C2-6245-4339-B920-6DF090615CB5}" name="Points" dataDxfId="122">
      <calculatedColumnFormula>IF(H44=1,MAX(21-A44,0),0)</calculatedColumnFormula>
    </tableColumn>
    <tableColumn id="3" xr3:uid="{E0E58218-DACA-41C5-B23E-6EE570D39A37}" name="Last" dataDxfId="121"/>
    <tableColumn id="4" xr3:uid="{B9E77BB5-7EB1-4226-B7CA-1AB4D7AE4287}" name="First" dataDxfId="120"/>
    <tableColumn id="5" xr3:uid="{6DF01B38-F756-4D43-900F-4BE269493720}" name="Team" dataDxfId="119"/>
    <tableColumn id="6" xr3:uid="{0526CE3C-35B7-44B5-88F8-A0ABA582CA8A}" name="Time" dataDxfId="118"/>
    <tableColumn id="7" xr3:uid="{3C3DC08A-69B0-448F-8EBC-23FAC9E74626}" name="Category" dataDxfId="117"/>
    <tableColumn id="8" xr3:uid="{9F4A56AE-9D6C-4F86-993D-EE98D006FD28}" name="Column1" dataDxfId="116">
      <calculatedColumnFormula>COUNTIF(ValidTeams[],E44)</calculatedColumnFormula>
    </tableColumn>
  </tableColumns>
  <tableStyleInfo name="TableStyleLight8" showFirstColumn="0" showLastColumn="0" showRowStripes="1" showColumnStripes="0"/>
</table>
</file>

<file path=xl/tables/table2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3" xr:uid="{221DE69A-1C64-471D-A955-F1F5AB224221}" name="Table10517090109128147166185204" displayName="Table10517090109128147166185204" ref="A50:H54" totalsRowShown="0" headerRowDxfId="115" dataDxfId="114" tableBorderDxfId="113">
  <autoFilter ref="A50:H54" xr:uid="{D94FE680-30EE-468C-B0C7-D95D6D58BE3A}"/>
  <tableColumns count="8">
    <tableColumn id="1" xr3:uid="{F667D764-86E1-4EF8-BD47-049DDC751D16}" name="Place" dataDxfId="112"/>
    <tableColumn id="2" xr3:uid="{800650F8-837E-499C-9C5A-15C6A57BCF63}" name="Points" dataDxfId="111">
      <calculatedColumnFormula>IF(H51=1,MAX(21-A51,0),0)</calculatedColumnFormula>
    </tableColumn>
    <tableColumn id="3" xr3:uid="{58E4AC97-98DD-40B8-8588-CCE0A8ED6C49}" name="Last" dataDxfId="110"/>
    <tableColumn id="4" xr3:uid="{64DE0242-03F9-471F-A6D7-D1ACA0DCF192}" name="First" dataDxfId="109"/>
    <tableColumn id="5" xr3:uid="{3D882E1B-7A0A-4DEE-AA44-CEBEF0EE9F56}" name="Team" dataDxfId="108"/>
    <tableColumn id="6" xr3:uid="{A041C940-78A9-4E76-8F85-1F79831F8B04}" name="Time" dataDxfId="107"/>
    <tableColumn id="7" xr3:uid="{B284BCAF-B506-4982-B6B6-815EB0073EDA}" name="Category" dataDxfId="106"/>
    <tableColumn id="8" xr3:uid="{CE7A03E7-713C-4DFE-87A9-21C780387B48}" name="Column1" dataDxfId="105">
      <calculatedColumnFormula>COUNTIF(ValidTeams[],E51)</calculatedColumnFormula>
    </tableColumn>
  </tableColumns>
  <tableStyleInfo name="TableStyleLight8" showFirstColumn="0" showLastColumn="0" showRowStripes="1" showColumnStripes="0"/>
</table>
</file>

<file path=xl/tables/table2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4" xr:uid="{3AE3F066-8B9F-4563-8451-F7633507EAD1}" name="Table11527191110129148167186205" displayName="Table11527191110129148167186205" ref="A56:H65" totalsRowShown="0" headerRowDxfId="104" dataDxfId="103" tableBorderDxfId="102">
  <autoFilter ref="A56:H65" xr:uid="{8DB3CF6A-DE15-42E5-9DE4-8E377BFEF7FB}"/>
  <tableColumns count="8">
    <tableColumn id="1" xr3:uid="{6305646B-4D01-48C7-922E-1A7529123964}" name="Place" dataDxfId="101"/>
    <tableColumn id="2" xr3:uid="{F20963FF-AA33-4FEC-8E4A-6196D92DFCFA}" name="Points" dataDxfId="100">
      <calculatedColumnFormula>IF(H57=1,MAX(21-A57,0),0)</calculatedColumnFormula>
    </tableColumn>
    <tableColumn id="3" xr3:uid="{71BC3A0C-5AAC-4396-A4CF-907BD54C229F}" name="Last" dataDxfId="99"/>
    <tableColumn id="4" xr3:uid="{A2A4F25E-92A3-4E1D-8C23-FBFAD017A566}" name="First" dataDxfId="98"/>
    <tableColumn id="5" xr3:uid="{5C8E7DE8-F9E8-4278-A0C1-C055352EB1AE}" name="Team" dataDxfId="97"/>
    <tableColumn id="6" xr3:uid="{B41C1080-E31E-435D-8DC2-2142D3C3BD51}" name="Time" dataDxfId="96"/>
    <tableColumn id="7" xr3:uid="{AEEC411A-6500-4276-B8FD-AC66CDB2C7F2}" name="Category" dataDxfId="95"/>
    <tableColumn id="8" xr3:uid="{961F7CD6-D9DF-43A5-B49D-A28BD811AB61}" name="Column1" dataDxfId="94">
      <calculatedColumnFormula>COUNTIF(ValidTeams[],E57)</calculatedColumnFormula>
    </tableColumn>
  </tableColumns>
  <tableStyleInfo name="TableStyleLight8" showFirstColumn="0" showLastColumn="0" showRowStripes="1" showColumnStripes="0"/>
</table>
</file>

<file path=xl/tables/table2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5" xr:uid="{915184E6-F01F-44EB-89FC-6D386F1A0D0A}" name="Table12537292111130149168187206" displayName="Table12537292111130149168187206" ref="A67:H76" totalsRowShown="0" headerRowDxfId="93" dataDxfId="92" tableBorderDxfId="91">
  <autoFilter ref="A67:H76" xr:uid="{11C18E5B-2665-42D7-868D-9FA168F847E1}"/>
  <tableColumns count="8">
    <tableColumn id="1" xr3:uid="{FCD1B1C6-835E-452D-AC76-646076ECBEAC}" name="Place" dataDxfId="90"/>
    <tableColumn id="2" xr3:uid="{BE776B47-F6DF-482B-8065-656B96269ADB}" name="Points" dataDxfId="89">
      <calculatedColumnFormula>IF(H68=1,MAX(21-A68,0),0)</calculatedColumnFormula>
    </tableColumn>
    <tableColumn id="3" xr3:uid="{B8CE2D77-9724-4BA7-AA89-6C460A358D0C}" name="Last" dataDxfId="88"/>
    <tableColumn id="4" xr3:uid="{58A627C4-D773-4966-95FF-7C13546CA16B}" name="First" dataDxfId="87"/>
    <tableColumn id="5" xr3:uid="{1A678D47-BB42-4E33-A63F-11155ECBB73D}" name="Team" dataDxfId="86"/>
    <tableColumn id="6" xr3:uid="{C7A803EF-F13B-4485-A4E5-A07B9295E9A7}" name="Time" dataDxfId="85"/>
    <tableColumn id="7" xr3:uid="{3A9ABB9E-4830-4CD6-8687-7E8DD9B3BC32}" name="Category" dataDxfId="84"/>
    <tableColumn id="8" xr3:uid="{877B29CD-CD50-458B-A9DE-4626FA37020A}" name="Column1" dataDxfId="83">
      <calculatedColumnFormula>COUNTIF(ValidTeams[],E68)</calculatedColumnFormula>
    </tableColumn>
  </tableColumns>
  <tableStyleInfo name="TableStyleLight8" showFirstColumn="0" showLastColumn="0" showRowStripes="1" showColumnStripes="0"/>
</table>
</file>

<file path=xl/tables/table2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6" xr:uid="{3DA54E84-4428-403A-BA95-637434E1F1D8}" name="Table13547393112131150169188207" displayName="Table13547393112131150169188207" ref="A78:H87" totalsRowShown="0" headerRowDxfId="82" dataDxfId="81" tableBorderDxfId="80">
  <autoFilter ref="A78:H87" xr:uid="{5C62EA4D-B4AF-459A-9C78-1DDC91C11162}"/>
  <tableColumns count="8">
    <tableColumn id="1" xr3:uid="{CCA473E5-6D29-4D68-8679-8FD3B3904200}" name="Place" dataDxfId="79"/>
    <tableColumn id="2" xr3:uid="{D22861F7-83FB-47A5-BB5C-6087564DCE38}" name="Points" dataDxfId="78">
      <calculatedColumnFormula>IF(H79=1,MAX(21-A79,0),0)</calculatedColumnFormula>
    </tableColumn>
    <tableColumn id="3" xr3:uid="{1454C0CA-5001-42F2-8695-70007734D3A2}" name="Last" dataDxfId="77"/>
    <tableColumn id="4" xr3:uid="{5CDD3C42-CC9F-48A5-B500-159C69CFFD79}" name="First" dataDxfId="76"/>
    <tableColumn id="5" xr3:uid="{04352FB9-6979-4F5F-9BC1-CF9B6396B610}" name="Team" dataDxfId="75"/>
    <tableColumn id="6" xr3:uid="{07040452-AEC1-4E65-9AD9-FB295B5D3E33}" name="Time" dataDxfId="74"/>
    <tableColumn id="7" xr3:uid="{F158B113-E2FA-4634-AE33-84F7F2BF7A0B}" name="Category" dataDxfId="73"/>
    <tableColumn id="8" xr3:uid="{7F4A089B-B5A6-4E74-AC3C-8BA34C960AF4}" name="Column1" dataDxfId="72">
      <calculatedColumnFormula>COUNTIF(ValidTeams[],E79)</calculatedColumnFormula>
    </tableColumn>
  </tableColumns>
  <tableStyleInfo name="TableStyleLight8" showFirstColumn="0" showLastColumn="0" showRowStripes="1" showColumnStripes="0"/>
</table>
</file>

<file path=xl/tables/table2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7" xr:uid="{6D1D8A7B-9D02-4EF8-964C-66E95E600277}" name="Table14557494113132151170189208" displayName="Table14557494113132151170189208" ref="A89:H98" totalsRowShown="0" headerRowDxfId="71" dataDxfId="70" tableBorderDxfId="69">
  <autoFilter ref="A89:H98" xr:uid="{26DCB4CA-2DE7-4A48-9E63-A3B293850C38}"/>
  <tableColumns count="8">
    <tableColumn id="1" xr3:uid="{9D2913C2-313C-4ACF-B7A8-AF139FA769DD}" name="Place" dataDxfId="68"/>
    <tableColumn id="2" xr3:uid="{16DC40B4-EB50-4E75-B244-2DAF010DA5AC}" name="Points" dataDxfId="67">
      <calculatedColumnFormula>IF(H90=1,MAX(21-A90,0),0)</calculatedColumnFormula>
    </tableColumn>
    <tableColumn id="3" xr3:uid="{B8217DFB-DAE8-4153-A315-B51DC7200EB1}" name="Last" dataDxfId="66"/>
    <tableColumn id="4" xr3:uid="{542B4FC4-CB6A-4413-B1AA-2B89EDBF9BDE}" name="First" dataDxfId="65"/>
    <tableColumn id="5" xr3:uid="{D0CD309F-6CB5-4CE3-A0E1-A8C14EAABDE1}" name="Team" dataDxfId="64"/>
    <tableColumn id="6" xr3:uid="{3EA404C9-5BF9-434B-A358-8FD940855A35}" name="Time" dataDxfId="63"/>
    <tableColumn id="7" xr3:uid="{E35F0C06-6538-4FBF-BBB1-2E16849B24BD}" name="Category" dataDxfId="62"/>
    <tableColumn id="8" xr3:uid="{F008E71B-0262-4A06-AD30-67E180E3A1C3}" name="Column1" dataDxfId="61">
      <calculatedColumnFormula>COUNTIF(ValidTeams[],E90)</calculatedColumnFormula>
    </tableColumn>
  </tableColumns>
  <tableStyleInfo name="TableStyleLight8" showFirstColumn="0" showLastColumn="0" showRowStripes="1" showColumnStripes="0"/>
</table>
</file>

<file path=xl/tables/table2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8" xr:uid="{BD5B24AA-15A4-445C-8286-9DDCBBEACC85}" name="Table15567595114133152171190209" displayName="Table15567595114133152171190209" ref="A100:H106" totalsRowShown="0" headerRowDxfId="60" dataDxfId="59" tableBorderDxfId="58">
  <autoFilter ref="A100:H106" xr:uid="{C613AFCE-296E-4B0B-BEBE-924A468844E2}"/>
  <tableColumns count="8">
    <tableColumn id="1" xr3:uid="{684515C0-5BD6-4472-A706-08437DBACE94}" name="Place" dataDxfId="57"/>
    <tableColumn id="2" xr3:uid="{9A909BAA-5719-437F-9D07-192EF1777D48}" name="Points" dataDxfId="56">
      <calculatedColumnFormula>IF(H101=1,MAX(21-A101,0),0)</calculatedColumnFormula>
    </tableColumn>
    <tableColumn id="3" xr3:uid="{52084463-F181-4A82-9FA8-C565C0863984}" name="Last" dataDxfId="55"/>
    <tableColumn id="4" xr3:uid="{5EF31427-4A46-4E83-96B7-74A75F179B10}" name="First" dataDxfId="54"/>
    <tableColumn id="5" xr3:uid="{5E8C7D1C-F44C-4801-9145-9440BD553E86}" name="Team" dataDxfId="53"/>
    <tableColumn id="6" xr3:uid="{29FC3A71-A575-427F-B964-CCDAD6AEBCDD}" name="Time" dataDxfId="52"/>
    <tableColumn id="7" xr3:uid="{408B2ACF-E3DE-4E9B-943B-2B41FFB0570D}" name="Category" dataDxfId="51"/>
    <tableColumn id="8" xr3:uid="{3B711E29-A90A-4F10-8EF1-AD9A3A005B15}" name="Column1" dataDxfId="50">
      <calculatedColumnFormula>COUNTIF(ValidTeams[],E101)</calculatedColumnFormula>
    </tableColumn>
  </tableColumns>
  <tableStyleInfo name="TableStyleLight8" showFirstColumn="0" showLastColumn="0" showRowStripes="1" showColumnStripes="0"/>
</table>
</file>

<file path=xl/tables/table2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9" xr:uid="{6FEF6DE3-2D33-4CAB-9A0A-468759F8D8BA}" name="Table16577696115134153172191210" displayName="Table16577696115134153172191210" ref="A108:H120" totalsRowShown="0" headerRowDxfId="49" dataDxfId="48" tableBorderDxfId="47">
  <autoFilter ref="A108:H120" xr:uid="{633EC92F-01AA-4268-8AC0-ADD3DB9BC5E8}"/>
  <tableColumns count="8">
    <tableColumn id="1" xr3:uid="{4BAC3338-1246-46EF-B7AC-9ED2CFBEDE6B}" name="Place" dataDxfId="46"/>
    <tableColumn id="2" xr3:uid="{1C4E7466-F635-4D8C-9301-1DAD6BE893CF}" name="Points" dataDxfId="45">
      <calculatedColumnFormula>IF(H109=1,MAX(21-A109,0),0)</calculatedColumnFormula>
    </tableColumn>
    <tableColumn id="3" xr3:uid="{4967B43F-8127-4F64-8968-181FF10A5246}" name="Last" dataDxfId="44"/>
    <tableColumn id="4" xr3:uid="{047BA5E4-CCF8-4446-8CDE-51DD3902B800}" name="First" dataDxfId="43"/>
    <tableColumn id="5" xr3:uid="{6DE1A838-C169-4FDB-B34D-CBE4DCE40A13}" name="Team" dataDxfId="42"/>
    <tableColumn id="6" xr3:uid="{18D9A297-CF65-438F-866E-52813E2AF721}" name="Time" dataDxfId="41"/>
    <tableColumn id="7" xr3:uid="{9D4DFFB1-C698-4B9F-A17D-79F3E28FFB69}" name="Category" dataDxfId="40"/>
    <tableColumn id="8" xr3:uid="{D46AE729-C4FD-490D-93F7-89ADB22A0BD5}" name="Column1" dataDxfId="39">
      <calculatedColumnFormula>COUNTIF(ValidTeams[],E109)</calculatedColumnFormula>
    </tableColumn>
  </tableColumns>
  <tableStyleInfo name="TableStyleLight8" showFirstColumn="0" showLastColumn="0" showRowStripes="1" showColumnStripes="0"/>
</table>
</file>

<file path=xl/tables/table2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0" xr:uid="{5BE8E2C7-852D-4743-82C6-98A124FEAC2A}" name="Table17587797116135154173192211" displayName="Table17587797116135154173192211" ref="A122:H126" totalsRowShown="0" headerRowDxfId="38" dataDxfId="37" tableBorderDxfId="36">
  <autoFilter ref="A122:H126" xr:uid="{5B01C281-9700-4C4F-829B-AC07CD26C4E6}"/>
  <tableColumns count="8">
    <tableColumn id="1" xr3:uid="{1862B2FC-6DB4-4796-A814-A1D0DF4435F9}" name="Place" dataDxfId="35"/>
    <tableColumn id="2" xr3:uid="{7232CF59-7ECD-4944-8695-4DD1C04118DB}" name="Points" dataDxfId="34">
      <calculatedColumnFormula>IF(H123=1,MAX(21-A123,0),0)</calculatedColumnFormula>
    </tableColumn>
    <tableColumn id="3" xr3:uid="{96E9D5F9-EB58-4A85-840A-B87153C657D7}" name="Last" dataDxfId="33"/>
    <tableColumn id="4" xr3:uid="{1BD34624-8A5C-4E11-961B-21CF027F0024}" name="First" dataDxfId="32"/>
    <tableColumn id="5" xr3:uid="{FC3318AD-1CEA-4A6A-9F21-66591CA97757}" name="Team" dataDxfId="31"/>
    <tableColumn id="6" xr3:uid="{4C6EEB74-EFAA-4529-8F27-75BF8DC10D19}" name="Time" dataDxfId="30"/>
    <tableColumn id="7" xr3:uid="{36B00E3C-F043-4CE5-9DF2-A36D430F9FF7}" name="Category" dataDxfId="29"/>
    <tableColumn id="8" xr3:uid="{C7042C70-2A2C-4B65-A3F1-CF00F31CC86B}" name="Column1" dataDxfId="28">
      <calculatedColumnFormula>COUNTIF(ValidTeams[],E123)</calculatedColumnFormula>
    </tableColumn>
  </tableColumns>
  <tableStyleInfo name="TableStyleLight8" showFirstColumn="0" showLastColumn="0" showRowStripes="1" showColumnStripes="0"/>
</table>
</file>

<file path=xl/tables/table2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1" xr:uid="{D1DFBE53-BA26-4170-A7CF-D7441851859E}" name="Table20597898117136155174193212" displayName="Table20597898117136155174193212" ref="A128:H137" totalsRowShown="0" headerRowDxfId="27" dataDxfId="26" tableBorderDxfId="25">
  <autoFilter ref="A128:H137" xr:uid="{DA1AAF35-E6EB-4EFD-A0FD-8BF58AF120BE}"/>
  <tableColumns count="8">
    <tableColumn id="1" xr3:uid="{5F59A784-3903-41C9-94C3-4ED36E12B814}" name="Place" dataDxfId="24"/>
    <tableColumn id="2" xr3:uid="{57A1208A-FF8B-4CDA-9CE8-66EC79A2C3DE}" name="Points" dataDxfId="23">
      <calculatedColumnFormula>IF(H129=1,MAX(21-A129,0),0)</calculatedColumnFormula>
    </tableColumn>
    <tableColumn id="3" xr3:uid="{B2618B3C-DA9C-4A01-97FC-E4A866D38A07}" name="Last" dataDxfId="22"/>
    <tableColumn id="4" xr3:uid="{DCD7245F-7639-4974-8115-23F9A694BBA9}" name="First" dataDxfId="21"/>
    <tableColumn id="5" xr3:uid="{724A6F02-6264-4707-85F5-FEB639774C68}" name="Team" dataDxfId="20"/>
    <tableColumn id="6" xr3:uid="{FDB4AEA5-294B-4417-A36F-8AEE4F70996E}" name="Time" dataDxfId="19"/>
    <tableColumn id="7" xr3:uid="{24D471A1-8912-447A-97FE-03E9DFA5CDB8}" name="Category" dataDxfId="18"/>
    <tableColumn id="8" xr3:uid="{AA08078C-5684-4BD3-A9E0-43ED34D6823D}" name="Column1" dataDxfId="17">
      <calculatedColumnFormula>COUNTIF(ValidTeams[],E129)</calculatedColumnFormula>
    </tableColumn>
  </tableColumns>
  <tableStyleInfo name="TableStyleLight8" showFirstColumn="0" showLastColumn="0" showRowStripes="1" showColumnStripes="0"/>
</table>
</file>

<file path=xl/tables/table2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2" xr:uid="{830F37BD-D0BC-49FC-8967-D1C2A649CF7D}" name="Table21607999118137156175194213" displayName="Table21607999118137156175194213" ref="A139:H143" totalsRowShown="0" headerRowDxfId="16" dataDxfId="15" tableBorderDxfId="14">
  <autoFilter ref="A139:H143" xr:uid="{9D8B37F4-8CF3-43C5-9AB4-D32258C99D79}"/>
  <sortState ref="A140:H143">
    <sortCondition ref="F139:F143"/>
  </sortState>
  <tableColumns count="8">
    <tableColumn id="1" xr3:uid="{0326D00D-A3ED-45B9-9A7D-DF76B803111C}" name="Place" dataDxfId="13"/>
    <tableColumn id="2" xr3:uid="{6D6183E6-C426-4B41-B4A7-38923E46DB87}" name="Points" dataDxfId="12">
      <calculatedColumnFormula>IF(H140=1,MAX(21-A140,0),0)</calculatedColumnFormula>
    </tableColumn>
    <tableColumn id="3" xr3:uid="{9611BD3A-8150-4FE0-A092-1E4C1E12A8CE}" name="Last" dataDxfId="11"/>
    <tableColumn id="4" xr3:uid="{C6273ACC-26E3-4881-8D15-3356ECE7E934}" name="First" dataDxfId="10"/>
    <tableColumn id="5" xr3:uid="{698E90A1-5FA4-4703-83F3-F78799458526}" name="Team" dataDxfId="9"/>
    <tableColumn id="6" xr3:uid="{F23EB340-DD4A-4315-91CB-ADC0B39DADE3}" name="Time" dataDxfId="8"/>
    <tableColumn id="7" xr3:uid="{A5BD49E6-284F-4BE1-8B8E-E7B42D89B073}" name="Category" dataDxfId="7"/>
    <tableColumn id="8" xr3:uid="{3A35F84E-3668-4397-9806-8919478F4B73}" name="Column1" dataDxfId="6">
      <calculatedColumnFormula>COUNTIF(ValidTeams[],E140)</calculatedColumnFormula>
    </tableColumn>
  </tableColumns>
  <tableStyleInfo name="TableStyleLight8" showFirstColumn="0" showLastColumn="0" showRowStripes="1" showColumnStripes="0"/>
</table>
</file>

<file path=xl/tables/table2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9383B11-95CE-43DB-9572-7C989424320A}" name="ValidTeams" displayName="ValidTeams" ref="A1:A77" totalsRowShown="0">
  <autoFilter ref="A1:A77" xr:uid="{FF0BDF12-5BE7-40BD-AF8B-14E36A014318}"/>
  <sortState ref="A2:A70">
    <sortCondition ref="A1:A70"/>
  </sortState>
  <tableColumns count="1">
    <tableColumn id="1" xr3:uid="{71B11432-FFB8-43CD-98E5-B07B7E3494A4}" name="Team Name"/>
  </tableColumns>
  <tableStyleInfo name="TableStyleLight8" showFirstColumn="0" showLastColumn="0" showRowStripes="1" showColumnStripes="0"/>
</table>
</file>

<file path=xl/tables/table2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8293D1D1-AD89-45E6-BF08-35AF578468C4}" name="Table42" displayName="Table42" ref="A1:C13" totalsRowShown="0">
  <autoFilter ref="A1:C13" xr:uid="{D61C5A95-EF01-4AF4-A234-8A0034843B76}"/>
  <tableColumns count="3">
    <tableColumn id="1" xr3:uid="{FACE7765-0592-4AD0-9C30-EC4BDB6BBD2B}" name="Number"/>
    <tableColumn id="2" xr3:uid="{C24B321C-ADD8-4799-B079-754CF2414ACE}" name="Date"/>
    <tableColumn id="3" xr3:uid="{4CBC7A5C-2988-491D-AF36-8421F6F610AC}" name="Race"/>
  </tableColumns>
  <tableStyleInfo name="TableStyleLight8" showFirstColumn="0" showLastColumn="0" showRowStripes="1" showColumnStripes="0"/>
</table>
</file>

<file path=xl/tables/table2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BDCAE81E-43D5-4383-ACC5-099EA9E46203}" name="Settings" displayName="Settings" ref="A17:C18" totalsRowShown="0">
  <autoFilter ref="A17:C18" xr:uid="{70C2A1DC-8308-4C39-BD5E-DA864F6DC7CD}"/>
  <tableColumns count="3">
    <tableColumn id="1" xr3:uid="{76A9CD6B-9CC9-4D24-933D-76BD70D74CA8}" name="ID"/>
    <tableColumn id="2" xr3:uid="{BAF87F1C-7025-44FB-8790-D176ABE3A7E8}" name="Name"/>
    <tableColumn id="3" xr3:uid="{D006BAAD-A6EB-4A7F-ABDE-87E4CDCCB143}" name="Value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20" Type="http://schemas.openxmlformats.org/officeDocument/2006/relationships/table" Target="../tables/table19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6.xml"/><Relationship Id="rId13" Type="http://schemas.openxmlformats.org/officeDocument/2006/relationships/table" Target="../tables/table31.xml"/><Relationship Id="rId18" Type="http://schemas.openxmlformats.org/officeDocument/2006/relationships/table" Target="../tables/table36.xml"/><Relationship Id="rId3" Type="http://schemas.openxmlformats.org/officeDocument/2006/relationships/table" Target="../tables/table21.xml"/><Relationship Id="rId7" Type="http://schemas.openxmlformats.org/officeDocument/2006/relationships/table" Target="../tables/table25.xml"/><Relationship Id="rId12" Type="http://schemas.openxmlformats.org/officeDocument/2006/relationships/table" Target="../tables/table30.xml"/><Relationship Id="rId17" Type="http://schemas.openxmlformats.org/officeDocument/2006/relationships/table" Target="../tables/table35.xml"/><Relationship Id="rId2" Type="http://schemas.openxmlformats.org/officeDocument/2006/relationships/table" Target="../tables/table20.xml"/><Relationship Id="rId16" Type="http://schemas.openxmlformats.org/officeDocument/2006/relationships/table" Target="../tables/table34.xml"/><Relationship Id="rId20" Type="http://schemas.openxmlformats.org/officeDocument/2006/relationships/table" Target="../tables/table38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4.xml"/><Relationship Id="rId11" Type="http://schemas.openxmlformats.org/officeDocument/2006/relationships/table" Target="../tables/table29.xml"/><Relationship Id="rId5" Type="http://schemas.openxmlformats.org/officeDocument/2006/relationships/table" Target="../tables/table23.xml"/><Relationship Id="rId15" Type="http://schemas.openxmlformats.org/officeDocument/2006/relationships/table" Target="../tables/table33.xml"/><Relationship Id="rId10" Type="http://schemas.openxmlformats.org/officeDocument/2006/relationships/table" Target="../tables/table28.xml"/><Relationship Id="rId19" Type="http://schemas.openxmlformats.org/officeDocument/2006/relationships/table" Target="../tables/table37.xml"/><Relationship Id="rId4" Type="http://schemas.openxmlformats.org/officeDocument/2006/relationships/table" Target="../tables/table22.xml"/><Relationship Id="rId9" Type="http://schemas.openxmlformats.org/officeDocument/2006/relationships/table" Target="../tables/table27.xml"/><Relationship Id="rId14" Type="http://schemas.openxmlformats.org/officeDocument/2006/relationships/table" Target="../tables/table3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5.xml"/><Relationship Id="rId13" Type="http://schemas.openxmlformats.org/officeDocument/2006/relationships/table" Target="../tables/table50.xml"/><Relationship Id="rId18" Type="http://schemas.openxmlformats.org/officeDocument/2006/relationships/table" Target="../tables/table55.xml"/><Relationship Id="rId3" Type="http://schemas.openxmlformats.org/officeDocument/2006/relationships/table" Target="../tables/table40.xml"/><Relationship Id="rId7" Type="http://schemas.openxmlformats.org/officeDocument/2006/relationships/table" Target="../tables/table44.xml"/><Relationship Id="rId12" Type="http://schemas.openxmlformats.org/officeDocument/2006/relationships/table" Target="../tables/table49.xml"/><Relationship Id="rId17" Type="http://schemas.openxmlformats.org/officeDocument/2006/relationships/table" Target="../tables/table54.xml"/><Relationship Id="rId2" Type="http://schemas.openxmlformats.org/officeDocument/2006/relationships/table" Target="../tables/table39.xml"/><Relationship Id="rId16" Type="http://schemas.openxmlformats.org/officeDocument/2006/relationships/table" Target="../tables/table53.xml"/><Relationship Id="rId20" Type="http://schemas.openxmlformats.org/officeDocument/2006/relationships/table" Target="../tables/table57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3.xml"/><Relationship Id="rId11" Type="http://schemas.openxmlformats.org/officeDocument/2006/relationships/table" Target="../tables/table48.xml"/><Relationship Id="rId5" Type="http://schemas.openxmlformats.org/officeDocument/2006/relationships/table" Target="../tables/table42.xml"/><Relationship Id="rId15" Type="http://schemas.openxmlformats.org/officeDocument/2006/relationships/table" Target="../tables/table52.xml"/><Relationship Id="rId10" Type="http://schemas.openxmlformats.org/officeDocument/2006/relationships/table" Target="../tables/table47.xml"/><Relationship Id="rId19" Type="http://schemas.openxmlformats.org/officeDocument/2006/relationships/table" Target="../tables/table56.xml"/><Relationship Id="rId4" Type="http://schemas.openxmlformats.org/officeDocument/2006/relationships/table" Target="../tables/table41.xml"/><Relationship Id="rId9" Type="http://schemas.openxmlformats.org/officeDocument/2006/relationships/table" Target="../tables/table46.xml"/><Relationship Id="rId14" Type="http://schemas.openxmlformats.org/officeDocument/2006/relationships/table" Target="../tables/table5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4.xml"/><Relationship Id="rId13" Type="http://schemas.openxmlformats.org/officeDocument/2006/relationships/table" Target="../tables/table69.xml"/><Relationship Id="rId18" Type="http://schemas.openxmlformats.org/officeDocument/2006/relationships/table" Target="../tables/table74.xml"/><Relationship Id="rId3" Type="http://schemas.openxmlformats.org/officeDocument/2006/relationships/table" Target="../tables/table59.xml"/><Relationship Id="rId7" Type="http://schemas.openxmlformats.org/officeDocument/2006/relationships/table" Target="../tables/table63.xml"/><Relationship Id="rId12" Type="http://schemas.openxmlformats.org/officeDocument/2006/relationships/table" Target="../tables/table68.xml"/><Relationship Id="rId17" Type="http://schemas.openxmlformats.org/officeDocument/2006/relationships/table" Target="../tables/table73.xml"/><Relationship Id="rId2" Type="http://schemas.openxmlformats.org/officeDocument/2006/relationships/table" Target="../tables/table58.xml"/><Relationship Id="rId16" Type="http://schemas.openxmlformats.org/officeDocument/2006/relationships/table" Target="../tables/table72.xml"/><Relationship Id="rId20" Type="http://schemas.openxmlformats.org/officeDocument/2006/relationships/table" Target="../tables/table76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62.xml"/><Relationship Id="rId11" Type="http://schemas.openxmlformats.org/officeDocument/2006/relationships/table" Target="../tables/table67.xml"/><Relationship Id="rId5" Type="http://schemas.openxmlformats.org/officeDocument/2006/relationships/table" Target="../tables/table61.xml"/><Relationship Id="rId15" Type="http://schemas.openxmlformats.org/officeDocument/2006/relationships/table" Target="../tables/table71.xml"/><Relationship Id="rId10" Type="http://schemas.openxmlformats.org/officeDocument/2006/relationships/table" Target="../tables/table66.xml"/><Relationship Id="rId19" Type="http://schemas.openxmlformats.org/officeDocument/2006/relationships/table" Target="../tables/table75.xml"/><Relationship Id="rId4" Type="http://schemas.openxmlformats.org/officeDocument/2006/relationships/table" Target="../tables/table60.xml"/><Relationship Id="rId9" Type="http://schemas.openxmlformats.org/officeDocument/2006/relationships/table" Target="../tables/table65.xml"/><Relationship Id="rId14" Type="http://schemas.openxmlformats.org/officeDocument/2006/relationships/table" Target="../tables/table7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3.xml"/><Relationship Id="rId13" Type="http://schemas.openxmlformats.org/officeDocument/2006/relationships/table" Target="../tables/table88.xml"/><Relationship Id="rId18" Type="http://schemas.openxmlformats.org/officeDocument/2006/relationships/table" Target="../tables/table93.xml"/><Relationship Id="rId3" Type="http://schemas.openxmlformats.org/officeDocument/2006/relationships/table" Target="../tables/table78.xml"/><Relationship Id="rId7" Type="http://schemas.openxmlformats.org/officeDocument/2006/relationships/table" Target="../tables/table82.xml"/><Relationship Id="rId12" Type="http://schemas.openxmlformats.org/officeDocument/2006/relationships/table" Target="../tables/table87.xml"/><Relationship Id="rId17" Type="http://schemas.openxmlformats.org/officeDocument/2006/relationships/table" Target="../tables/table92.xml"/><Relationship Id="rId2" Type="http://schemas.openxmlformats.org/officeDocument/2006/relationships/table" Target="../tables/table77.xml"/><Relationship Id="rId16" Type="http://schemas.openxmlformats.org/officeDocument/2006/relationships/table" Target="../tables/table91.xml"/><Relationship Id="rId20" Type="http://schemas.openxmlformats.org/officeDocument/2006/relationships/table" Target="../tables/table9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81.xml"/><Relationship Id="rId11" Type="http://schemas.openxmlformats.org/officeDocument/2006/relationships/table" Target="../tables/table86.xml"/><Relationship Id="rId5" Type="http://schemas.openxmlformats.org/officeDocument/2006/relationships/table" Target="../tables/table80.xml"/><Relationship Id="rId15" Type="http://schemas.openxmlformats.org/officeDocument/2006/relationships/table" Target="../tables/table90.xml"/><Relationship Id="rId10" Type="http://schemas.openxmlformats.org/officeDocument/2006/relationships/table" Target="../tables/table85.xml"/><Relationship Id="rId19" Type="http://schemas.openxmlformats.org/officeDocument/2006/relationships/table" Target="../tables/table94.xml"/><Relationship Id="rId4" Type="http://schemas.openxmlformats.org/officeDocument/2006/relationships/table" Target="../tables/table79.xml"/><Relationship Id="rId9" Type="http://schemas.openxmlformats.org/officeDocument/2006/relationships/table" Target="../tables/table84.xml"/><Relationship Id="rId14" Type="http://schemas.openxmlformats.org/officeDocument/2006/relationships/table" Target="../tables/table8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2.xml"/><Relationship Id="rId13" Type="http://schemas.openxmlformats.org/officeDocument/2006/relationships/table" Target="../tables/table107.xml"/><Relationship Id="rId18" Type="http://schemas.openxmlformats.org/officeDocument/2006/relationships/table" Target="../tables/table112.xml"/><Relationship Id="rId3" Type="http://schemas.openxmlformats.org/officeDocument/2006/relationships/table" Target="../tables/table97.xml"/><Relationship Id="rId7" Type="http://schemas.openxmlformats.org/officeDocument/2006/relationships/table" Target="../tables/table101.xml"/><Relationship Id="rId12" Type="http://schemas.openxmlformats.org/officeDocument/2006/relationships/table" Target="../tables/table106.xml"/><Relationship Id="rId17" Type="http://schemas.openxmlformats.org/officeDocument/2006/relationships/table" Target="../tables/table111.xml"/><Relationship Id="rId2" Type="http://schemas.openxmlformats.org/officeDocument/2006/relationships/table" Target="../tables/table96.xml"/><Relationship Id="rId16" Type="http://schemas.openxmlformats.org/officeDocument/2006/relationships/table" Target="../tables/table110.xml"/><Relationship Id="rId20" Type="http://schemas.openxmlformats.org/officeDocument/2006/relationships/table" Target="../tables/table11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00.xml"/><Relationship Id="rId11" Type="http://schemas.openxmlformats.org/officeDocument/2006/relationships/table" Target="../tables/table105.xml"/><Relationship Id="rId5" Type="http://schemas.openxmlformats.org/officeDocument/2006/relationships/table" Target="../tables/table99.xml"/><Relationship Id="rId15" Type="http://schemas.openxmlformats.org/officeDocument/2006/relationships/table" Target="../tables/table109.xml"/><Relationship Id="rId10" Type="http://schemas.openxmlformats.org/officeDocument/2006/relationships/table" Target="../tables/table104.xml"/><Relationship Id="rId19" Type="http://schemas.openxmlformats.org/officeDocument/2006/relationships/table" Target="../tables/table113.xml"/><Relationship Id="rId4" Type="http://schemas.openxmlformats.org/officeDocument/2006/relationships/table" Target="../tables/table98.xml"/><Relationship Id="rId9" Type="http://schemas.openxmlformats.org/officeDocument/2006/relationships/table" Target="../tables/table103.xml"/><Relationship Id="rId14" Type="http://schemas.openxmlformats.org/officeDocument/2006/relationships/table" Target="../tables/table10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1.xml"/><Relationship Id="rId13" Type="http://schemas.openxmlformats.org/officeDocument/2006/relationships/table" Target="../tables/table126.xml"/><Relationship Id="rId18" Type="http://schemas.openxmlformats.org/officeDocument/2006/relationships/table" Target="../tables/table131.xml"/><Relationship Id="rId3" Type="http://schemas.openxmlformats.org/officeDocument/2006/relationships/table" Target="../tables/table116.xml"/><Relationship Id="rId7" Type="http://schemas.openxmlformats.org/officeDocument/2006/relationships/table" Target="../tables/table120.xml"/><Relationship Id="rId12" Type="http://schemas.openxmlformats.org/officeDocument/2006/relationships/table" Target="../tables/table125.xml"/><Relationship Id="rId17" Type="http://schemas.openxmlformats.org/officeDocument/2006/relationships/table" Target="../tables/table130.xml"/><Relationship Id="rId2" Type="http://schemas.openxmlformats.org/officeDocument/2006/relationships/table" Target="../tables/table115.xml"/><Relationship Id="rId16" Type="http://schemas.openxmlformats.org/officeDocument/2006/relationships/table" Target="../tables/table129.xml"/><Relationship Id="rId20" Type="http://schemas.openxmlformats.org/officeDocument/2006/relationships/table" Target="../tables/table133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119.xml"/><Relationship Id="rId11" Type="http://schemas.openxmlformats.org/officeDocument/2006/relationships/table" Target="../tables/table124.xml"/><Relationship Id="rId5" Type="http://schemas.openxmlformats.org/officeDocument/2006/relationships/table" Target="../tables/table118.xml"/><Relationship Id="rId15" Type="http://schemas.openxmlformats.org/officeDocument/2006/relationships/table" Target="../tables/table128.xml"/><Relationship Id="rId10" Type="http://schemas.openxmlformats.org/officeDocument/2006/relationships/table" Target="../tables/table123.xml"/><Relationship Id="rId19" Type="http://schemas.openxmlformats.org/officeDocument/2006/relationships/table" Target="../tables/table132.xml"/><Relationship Id="rId4" Type="http://schemas.openxmlformats.org/officeDocument/2006/relationships/table" Target="../tables/table117.xml"/><Relationship Id="rId9" Type="http://schemas.openxmlformats.org/officeDocument/2006/relationships/table" Target="../tables/table122.xml"/><Relationship Id="rId14" Type="http://schemas.openxmlformats.org/officeDocument/2006/relationships/table" Target="../tables/table12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0.xml"/><Relationship Id="rId13" Type="http://schemas.openxmlformats.org/officeDocument/2006/relationships/table" Target="../tables/table145.xml"/><Relationship Id="rId18" Type="http://schemas.openxmlformats.org/officeDocument/2006/relationships/table" Target="../tables/table150.xml"/><Relationship Id="rId3" Type="http://schemas.openxmlformats.org/officeDocument/2006/relationships/table" Target="../tables/table135.xml"/><Relationship Id="rId7" Type="http://schemas.openxmlformats.org/officeDocument/2006/relationships/table" Target="../tables/table139.xml"/><Relationship Id="rId12" Type="http://schemas.openxmlformats.org/officeDocument/2006/relationships/table" Target="../tables/table144.xml"/><Relationship Id="rId17" Type="http://schemas.openxmlformats.org/officeDocument/2006/relationships/table" Target="../tables/table149.xml"/><Relationship Id="rId2" Type="http://schemas.openxmlformats.org/officeDocument/2006/relationships/table" Target="../tables/table134.xml"/><Relationship Id="rId16" Type="http://schemas.openxmlformats.org/officeDocument/2006/relationships/table" Target="../tables/table148.xml"/><Relationship Id="rId20" Type="http://schemas.openxmlformats.org/officeDocument/2006/relationships/table" Target="../tables/table152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138.xml"/><Relationship Id="rId11" Type="http://schemas.openxmlformats.org/officeDocument/2006/relationships/table" Target="../tables/table143.xml"/><Relationship Id="rId5" Type="http://schemas.openxmlformats.org/officeDocument/2006/relationships/table" Target="../tables/table137.xml"/><Relationship Id="rId15" Type="http://schemas.openxmlformats.org/officeDocument/2006/relationships/table" Target="../tables/table147.xml"/><Relationship Id="rId10" Type="http://schemas.openxmlformats.org/officeDocument/2006/relationships/table" Target="../tables/table142.xml"/><Relationship Id="rId19" Type="http://schemas.openxmlformats.org/officeDocument/2006/relationships/table" Target="../tables/table151.xml"/><Relationship Id="rId4" Type="http://schemas.openxmlformats.org/officeDocument/2006/relationships/table" Target="../tables/table136.xml"/><Relationship Id="rId9" Type="http://schemas.openxmlformats.org/officeDocument/2006/relationships/table" Target="../tables/table141.xml"/><Relationship Id="rId14" Type="http://schemas.openxmlformats.org/officeDocument/2006/relationships/table" Target="../tables/table14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9.xml"/><Relationship Id="rId13" Type="http://schemas.openxmlformats.org/officeDocument/2006/relationships/table" Target="../tables/table164.xml"/><Relationship Id="rId18" Type="http://schemas.openxmlformats.org/officeDocument/2006/relationships/table" Target="../tables/table169.xml"/><Relationship Id="rId3" Type="http://schemas.openxmlformats.org/officeDocument/2006/relationships/table" Target="../tables/table154.xml"/><Relationship Id="rId7" Type="http://schemas.openxmlformats.org/officeDocument/2006/relationships/table" Target="../tables/table158.xml"/><Relationship Id="rId12" Type="http://schemas.openxmlformats.org/officeDocument/2006/relationships/table" Target="../tables/table163.xml"/><Relationship Id="rId17" Type="http://schemas.openxmlformats.org/officeDocument/2006/relationships/table" Target="../tables/table168.xml"/><Relationship Id="rId2" Type="http://schemas.openxmlformats.org/officeDocument/2006/relationships/table" Target="../tables/table153.xml"/><Relationship Id="rId16" Type="http://schemas.openxmlformats.org/officeDocument/2006/relationships/table" Target="../tables/table167.xml"/><Relationship Id="rId20" Type="http://schemas.openxmlformats.org/officeDocument/2006/relationships/table" Target="../tables/table171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157.xml"/><Relationship Id="rId11" Type="http://schemas.openxmlformats.org/officeDocument/2006/relationships/table" Target="../tables/table162.xml"/><Relationship Id="rId5" Type="http://schemas.openxmlformats.org/officeDocument/2006/relationships/table" Target="../tables/table156.xml"/><Relationship Id="rId15" Type="http://schemas.openxmlformats.org/officeDocument/2006/relationships/table" Target="../tables/table166.xml"/><Relationship Id="rId10" Type="http://schemas.openxmlformats.org/officeDocument/2006/relationships/table" Target="../tables/table161.xml"/><Relationship Id="rId19" Type="http://schemas.openxmlformats.org/officeDocument/2006/relationships/table" Target="../tables/table170.xml"/><Relationship Id="rId4" Type="http://schemas.openxmlformats.org/officeDocument/2006/relationships/table" Target="../tables/table155.xml"/><Relationship Id="rId9" Type="http://schemas.openxmlformats.org/officeDocument/2006/relationships/table" Target="../tables/table160.xml"/><Relationship Id="rId14" Type="http://schemas.openxmlformats.org/officeDocument/2006/relationships/table" Target="../tables/table16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8.xml"/><Relationship Id="rId13" Type="http://schemas.openxmlformats.org/officeDocument/2006/relationships/table" Target="../tables/table183.xml"/><Relationship Id="rId18" Type="http://schemas.openxmlformats.org/officeDocument/2006/relationships/table" Target="../tables/table188.xml"/><Relationship Id="rId3" Type="http://schemas.openxmlformats.org/officeDocument/2006/relationships/table" Target="../tables/table173.xml"/><Relationship Id="rId7" Type="http://schemas.openxmlformats.org/officeDocument/2006/relationships/table" Target="../tables/table177.xml"/><Relationship Id="rId12" Type="http://schemas.openxmlformats.org/officeDocument/2006/relationships/table" Target="../tables/table182.xml"/><Relationship Id="rId17" Type="http://schemas.openxmlformats.org/officeDocument/2006/relationships/table" Target="../tables/table187.xml"/><Relationship Id="rId2" Type="http://schemas.openxmlformats.org/officeDocument/2006/relationships/table" Target="../tables/table172.xml"/><Relationship Id="rId16" Type="http://schemas.openxmlformats.org/officeDocument/2006/relationships/table" Target="../tables/table186.xml"/><Relationship Id="rId20" Type="http://schemas.openxmlformats.org/officeDocument/2006/relationships/table" Target="../tables/table190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176.xml"/><Relationship Id="rId11" Type="http://schemas.openxmlformats.org/officeDocument/2006/relationships/table" Target="../tables/table181.xml"/><Relationship Id="rId5" Type="http://schemas.openxmlformats.org/officeDocument/2006/relationships/table" Target="../tables/table175.xml"/><Relationship Id="rId15" Type="http://schemas.openxmlformats.org/officeDocument/2006/relationships/table" Target="../tables/table185.xml"/><Relationship Id="rId10" Type="http://schemas.openxmlformats.org/officeDocument/2006/relationships/table" Target="../tables/table180.xml"/><Relationship Id="rId19" Type="http://schemas.openxmlformats.org/officeDocument/2006/relationships/table" Target="../tables/table189.xml"/><Relationship Id="rId4" Type="http://schemas.openxmlformats.org/officeDocument/2006/relationships/table" Target="../tables/table174.xml"/><Relationship Id="rId9" Type="http://schemas.openxmlformats.org/officeDocument/2006/relationships/table" Target="../tables/table179.xml"/><Relationship Id="rId14" Type="http://schemas.openxmlformats.org/officeDocument/2006/relationships/table" Target="../tables/table18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97.xml"/><Relationship Id="rId13" Type="http://schemas.openxmlformats.org/officeDocument/2006/relationships/table" Target="../tables/table202.xml"/><Relationship Id="rId18" Type="http://schemas.openxmlformats.org/officeDocument/2006/relationships/table" Target="../tables/table207.xml"/><Relationship Id="rId3" Type="http://schemas.openxmlformats.org/officeDocument/2006/relationships/table" Target="../tables/table192.xml"/><Relationship Id="rId7" Type="http://schemas.openxmlformats.org/officeDocument/2006/relationships/table" Target="../tables/table196.xml"/><Relationship Id="rId12" Type="http://schemas.openxmlformats.org/officeDocument/2006/relationships/table" Target="../tables/table201.xml"/><Relationship Id="rId17" Type="http://schemas.openxmlformats.org/officeDocument/2006/relationships/table" Target="../tables/table206.xml"/><Relationship Id="rId2" Type="http://schemas.openxmlformats.org/officeDocument/2006/relationships/table" Target="../tables/table191.xml"/><Relationship Id="rId16" Type="http://schemas.openxmlformats.org/officeDocument/2006/relationships/table" Target="../tables/table205.xml"/><Relationship Id="rId20" Type="http://schemas.openxmlformats.org/officeDocument/2006/relationships/table" Target="../tables/table209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195.xml"/><Relationship Id="rId11" Type="http://schemas.openxmlformats.org/officeDocument/2006/relationships/table" Target="../tables/table200.xml"/><Relationship Id="rId5" Type="http://schemas.openxmlformats.org/officeDocument/2006/relationships/table" Target="../tables/table194.xml"/><Relationship Id="rId15" Type="http://schemas.openxmlformats.org/officeDocument/2006/relationships/table" Target="../tables/table204.xml"/><Relationship Id="rId10" Type="http://schemas.openxmlformats.org/officeDocument/2006/relationships/table" Target="../tables/table199.xml"/><Relationship Id="rId19" Type="http://schemas.openxmlformats.org/officeDocument/2006/relationships/table" Target="../tables/table208.xml"/><Relationship Id="rId4" Type="http://schemas.openxmlformats.org/officeDocument/2006/relationships/table" Target="../tables/table193.xml"/><Relationship Id="rId9" Type="http://schemas.openxmlformats.org/officeDocument/2006/relationships/table" Target="../tables/table198.xml"/><Relationship Id="rId14" Type="http://schemas.openxmlformats.org/officeDocument/2006/relationships/table" Target="../tables/table20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0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2.xml"/><Relationship Id="rId1" Type="http://schemas.openxmlformats.org/officeDocument/2006/relationships/table" Target="../tables/table2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595E3-69C1-411F-AAE2-3219732C607D}">
  <sheetPr codeName="Sheet1">
    <pageSetUpPr fitToPage="1"/>
  </sheetPr>
  <dimension ref="A1:R356"/>
  <sheetViews>
    <sheetView tabSelected="1" topLeftCell="A312" zoomScaleNormal="100" workbookViewId="0">
      <selection activeCell="L346" sqref="L346"/>
    </sheetView>
  </sheetViews>
  <sheetFormatPr defaultRowHeight="12.75" x14ac:dyDescent="0.2"/>
  <cols>
    <col min="1" max="1" width="20.42578125" style="8" bestFit="1" customWidth="1"/>
    <col min="2" max="2" width="12.28515625" style="8" customWidth="1"/>
    <col min="3" max="3" width="36.140625" style="8" bestFit="1" customWidth="1"/>
    <col min="4" max="4" width="7.7109375" style="9" customWidth="1"/>
    <col min="5" max="10" width="9.140625" style="9" customWidth="1"/>
    <col min="11" max="14" width="9.140625" style="9"/>
    <col min="15" max="15" width="12" style="9" bestFit="1" customWidth="1"/>
    <col min="16" max="16" width="11.140625" style="9" bestFit="1" customWidth="1"/>
    <col min="17" max="17" width="8.5703125" style="8" bestFit="1" customWidth="1"/>
    <col min="18" max="16384" width="9.140625" style="8"/>
  </cols>
  <sheetData>
    <row r="1" spans="1:17" ht="38.25" customHeight="1" x14ac:dyDescent="0.2">
      <c r="A1" s="45" t="s">
        <v>501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</row>
    <row r="2" spans="1:17" ht="23.25" customHeight="1" x14ac:dyDescent="0.2">
      <c r="A2" s="46" t="s">
        <v>502</v>
      </c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</row>
    <row r="4" spans="1:17" x14ac:dyDescent="0.2">
      <c r="A4" s="7" t="s">
        <v>473</v>
      </c>
    </row>
    <row r="5" spans="1:17" x14ac:dyDescent="0.2">
      <c r="A5" s="8" t="s">
        <v>1</v>
      </c>
      <c r="B5" s="8" t="s">
        <v>2</v>
      </c>
      <c r="C5" s="8" t="s">
        <v>3</v>
      </c>
      <c r="D5" s="9" t="s">
        <v>461</v>
      </c>
      <c r="E5" s="9" t="s">
        <v>462</v>
      </c>
      <c r="F5" s="9" t="s">
        <v>463</v>
      </c>
      <c r="G5" s="9" t="s">
        <v>464</v>
      </c>
      <c r="H5" s="9" t="s">
        <v>465</v>
      </c>
      <c r="I5" s="9" t="s">
        <v>466</v>
      </c>
      <c r="J5" s="9" t="s">
        <v>467</v>
      </c>
      <c r="K5" s="9" t="s">
        <v>468</v>
      </c>
      <c r="L5" s="9" t="s">
        <v>469</v>
      </c>
      <c r="M5" s="9" t="s">
        <v>470</v>
      </c>
      <c r="N5" s="9" t="s">
        <v>471</v>
      </c>
      <c r="O5" s="9" t="s">
        <v>472</v>
      </c>
      <c r="P5" s="9" t="s">
        <v>460</v>
      </c>
      <c r="Q5" s="9" t="s">
        <v>500</v>
      </c>
    </row>
    <row r="6" spans="1:17" x14ac:dyDescent="0.2">
      <c r="A6" s="8" t="s">
        <v>6</v>
      </c>
      <c r="B6" s="8" t="s">
        <v>7</v>
      </c>
      <c r="C6" s="8" t="s">
        <v>8</v>
      </c>
      <c r="D6" s="9">
        <v>20</v>
      </c>
      <c r="E6" s="9">
        <v>19</v>
      </c>
      <c r="F6" s="9">
        <v>17</v>
      </c>
      <c r="G6" s="9">
        <v>19</v>
      </c>
      <c r="H6" s="9">
        <v>20</v>
      </c>
      <c r="I6" s="9">
        <v>20</v>
      </c>
      <c r="J6" s="9">
        <v>20</v>
      </c>
      <c r="K6" s="9">
        <v>16</v>
      </c>
      <c r="L6" s="9">
        <v>20</v>
      </c>
      <c r="M6" s="9">
        <v>0</v>
      </c>
      <c r="P6" s="9">
        <f t="shared" ref="P6:P38" si="0">SUM(D6:O6)</f>
        <v>171</v>
      </c>
      <c r="Q6" s="9">
        <f ca="1">P6-IFERROR(SMALL(D6:INDIRECT(ADDRESS(ROW(),4+Settings[Value])), 1),0)-IFERROR(SMALL(D6:INDIRECT(ADDRESS(ROW(),4+Settings[Value])),2),0)</f>
        <v>155</v>
      </c>
    </row>
    <row r="7" spans="1:17" x14ac:dyDescent="0.2">
      <c r="A7" s="8" t="s">
        <v>13</v>
      </c>
      <c r="B7" s="8" t="s">
        <v>14</v>
      </c>
      <c r="C7" s="8" t="s">
        <v>15</v>
      </c>
      <c r="D7" s="9">
        <v>18</v>
      </c>
      <c r="E7" s="9">
        <v>14</v>
      </c>
      <c r="F7" s="9">
        <v>15</v>
      </c>
      <c r="G7" s="9">
        <v>17</v>
      </c>
      <c r="H7" s="9">
        <v>0</v>
      </c>
      <c r="I7" s="9">
        <v>17</v>
      </c>
      <c r="J7" s="9">
        <v>15</v>
      </c>
      <c r="K7" s="9">
        <v>0</v>
      </c>
      <c r="L7" s="9">
        <v>17</v>
      </c>
      <c r="M7" s="9">
        <v>20</v>
      </c>
      <c r="P7" s="25">
        <f t="shared" si="0"/>
        <v>133</v>
      </c>
      <c r="Q7" s="9">
        <f ca="1">P7-IFERROR(SMALL(D7:INDIRECT(ADDRESS(ROW(),4+Settings[Value])), 1),0)-IFERROR(SMALL(D7:INDIRECT(ADDRESS(ROW(),4+Settings[Value])),2),0)</f>
        <v>133</v>
      </c>
    </row>
    <row r="8" spans="1:17" x14ac:dyDescent="0.2">
      <c r="A8" s="8" t="s">
        <v>513</v>
      </c>
      <c r="B8" s="8" t="s">
        <v>30</v>
      </c>
      <c r="C8" s="8" t="s">
        <v>442</v>
      </c>
      <c r="D8" s="9">
        <v>0</v>
      </c>
      <c r="E8" s="9">
        <v>17</v>
      </c>
      <c r="F8" s="9">
        <v>16</v>
      </c>
      <c r="G8" s="9">
        <v>15</v>
      </c>
      <c r="H8" s="9">
        <v>19</v>
      </c>
      <c r="I8" s="9">
        <v>19</v>
      </c>
      <c r="J8" s="9">
        <v>18</v>
      </c>
      <c r="K8" s="9">
        <v>0</v>
      </c>
      <c r="L8" s="9">
        <v>19</v>
      </c>
      <c r="M8" s="9">
        <v>0</v>
      </c>
      <c r="P8" s="25">
        <f t="shared" si="0"/>
        <v>123</v>
      </c>
      <c r="Q8" s="9">
        <f ca="1">P8-IFERROR(SMALL(D8:INDIRECT(ADDRESS(ROW(),4+Settings[Value])), 1),0)-IFERROR(SMALL(D8:INDIRECT(ADDRESS(ROW(),4+Settings[Value])),2),0)</f>
        <v>123</v>
      </c>
    </row>
    <row r="9" spans="1:17" x14ac:dyDescent="0.2">
      <c r="A9" s="8" t="s">
        <v>10</v>
      </c>
      <c r="B9" s="8" t="s">
        <v>11</v>
      </c>
      <c r="C9" s="8" t="s">
        <v>12</v>
      </c>
      <c r="D9" s="9">
        <v>19</v>
      </c>
      <c r="E9" s="9">
        <v>20</v>
      </c>
      <c r="F9" s="9">
        <v>18</v>
      </c>
      <c r="G9" s="9">
        <v>0</v>
      </c>
      <c r="H9" s="9">
        <v>0</v>
      </c>
      <c r="I9" s="9">
        <v>0</v>
      </c>
      <c r="J9" s="9">
        <v>19</v>
      </c>
      <c r="K9" s="9">
        <v>14</v>
      </c>
      <c r="L9" s="9">
        <v>18</v>
      </c>
      <c r="M9" s="9">
        <v>0</v>
      </c>
      <c r="P9" s="9">
        <f t="shared" si="0"/>
        <v>108</v>
      </c>
      <c r="Q9" s="9">
        <f ca="1">P9-IFERROR(SMALL(D9:INDIRECT(ADDRESS(ROW(),4+Settings[Value])), 1),0)-IFERROR(SMALL(D9:INDIRECT(ADDRESS(ROW(),4+Settings[Value])),2),0)</f>
        <v>108</v>
      </c>
    </row>
    <row r="10" spans="1:17" x14ac:dyDescent="0.2">
      <c r="A10" s="8" t="s">
        <v>32</v>
      </c>
      <c r="B10" s="8" t="s">
        <v>33</v>
      </c>
      <c r="C10" s="8" t="s">
        <v>34</v>
      </c>
      <c r="D10" s="9">
        <v>10</v>
      </c>
      <c r="E10" s="9">
        <v>4</v>
      </c>
      <c r="F10" s="9">
        <v>0</v>
      </c>
      <c r="G10" s="9">
        <v>0</v>
      </c>
      <c r="H10" s="9">
        <v>9</v>
      </c>
      <c r="I10" s="9">
        <v>12</v>
      </c>
      <c r="J10" s="9">
        <v>5</v>
      </c>
      <c r="K10" s="9">
        <v>0</v>
      </c>
      <c r="L10" s="9">
        <v>12</v>
      </c>
      <c r="M10" s="9">
        <v>12</v>
      </c>
      <c r="P10" s="9">
        <f t="shared" si="0"/>
        <v>64</v>
      </c>
      <c r="Q10" s="9">
        <f ca="1">P10-IFERROR(SMALL(D10:INDIRECT(ADDRESS(ROW(),4+Settings[Value])), 1),0)-IFERROR(SMALL(D10:INDIRECT(ADDRESS(ROW(),4+Settings[Value])),2),0)</f>
        <v>64</v>
      </c>
    </row>
    <row r="11" spans="1:17" x14ac:dyDescent="0.2">
      <c r="A11" s="8" t="s">
        <v>16</v>
      </c>
      <c r="B11" s="8" t="s">
        <v>17</v>
      </c>
      <c r="C11" s="8" t="s">
        <v>18</v>
      </c>
      <c r="D11" s="9">
        <v>17</v>
      </c>
      <c r="E11" s="9">
        <v>0</v>
      </c>
      <c r="F11" s="9">
        <v>11</v>
      </c>
      <c r="G11" s="9">
        <v>0</v>
      </c>
      <c r="H11" s="9">
        <v>13</v>
      </c>
      <c r="I11" s="9">
        <v>0</v>
      </c>
      <c r="J11" s="9">
        <v>12</v>
      </c>
      <c r="K11" s="9">
        <v>0</v>
      </c>
      <c r="L11" s="9">
        <v>0</v>
      </c>
      <c r="M11" s="9">
        <v>0</v>
      </c>
      <c r="P11" s="9">
        <f t="shared" si="0"/>
        <v>53</v>
      </c>
      <c r="Q11" s="9">
        <f ca="1">P11-IFERROR(SMALL(D11:INDIRECT(ADDRESS(ROW(),4+Settings[Value])), 1),0)-IFERROR(SMALL(D11:INDIRECT(ADDRESS(ROW(),4+Settings[Value])),2),0)</f>
        <v>53</v>
      </c>
    </row>
    <row r="12" spans="1:17" x14ac:dyDescent="0.2">
      <c r="A12" s="8" t="s">
        <v>28</v>
      </c>
      <c r="B12" s="8" t="s">
        <v>20</v>
      </c>
      <c r="C12" s="8" t="s">
        <v>442</v>
      </c>
      <c r="D12" s="9">
        <v>12</v>
      </c>
      <c r="E12" s="9">
        <v>6</v>
      </c>
      <c r="F12" s="9">
        <v>0</v>
      </c>
      <c r="G12" s="9">
        <v>0</v>
      </c>
      <c r="H12" s="9">
        <v>11</v>
      </c>
      <c r="I12" s="9">
        <v>13</v>
      </c>
      <c r="J12" s="9">
        <v>6</v>
      </c>
      <c r="K12" s="9">
        <v>0</v>
      </c>
      <c r="L12" s="9">
        <v>0</v>
      </c>
      <c r="M12" s="9">
        <v>0</v>
      </c>
      <c r="P12" s="9">
        <f t="shared" si="0"/>
        <v>48</v>
      </c>
      <c r="Q12" s="9">
        <f ca="1">P12-IFERROR(SMALL(D12:INDIRECT(ADDRESS(ROW(),4+Settings[Value])), 1),0)-IFERROR(SMALL(D12:INDIRECT(ADDRESS(ROW(),4+Settings[Value])),2),0)</f>
        <v>48</v>
      </c>
    </row>
    <row r="13" spans="1:17" x14ac:dyDescent="0.2">
      <c r="A13" s="8" t="s">
        <v>26</v>
      </c>
      <c r="B13" s="8" t="s">
        <v>27</v>
      </c>
      <c r="C13" s="8" t="s">
        <v>88</v>
      </c>
      <c r="D13" s="9">
        <v>13</v>
      </c>
      <c r="E13" s="9">
        <v>7</v>
      </c>
      <c r="F13" s="9">
        <v>3</v>
      </c>
      <c r="G13" s="9">
        <v>0</v>
      </c>
      <c r="H13" s="9">
        <v>0</v>
      </c>
      <c r="I13" s="9">
        <v>0</v>
      </c>
      <c r="J13" s="9">
        <v>0</v>
      </c>
      <c r="K13" s="9">
        <v>0</v>
      </c>
      <c r="L13" s="9">
        <v>0</v>
      </c>
      <c r="M13" s="9">
        <v>0</v>
      </c>
      <c r="P13" s="9">
        <f t="shared" si="0"/>
        <v>23</v>
      </c>
      <c r="Q13" s="9">
        <f ca="1">P13-IFERROR(SMALL(D13:INDIRECT(ADDRESS(ROW(),4+Settings[Value])), 1),0)-IFERROR(SMALL(D13:INDIRECT(ADDRESS(ROW(),4+Settings[Value])),2),0)</f>
        <v>23</v>
      </c>
    </row>
    <row r="14" spans="1:17" x14ac:dyDescent="0.2">
      <c r="A14" s="8" t="s">
        <v>902</v>
      </c>
      <c r="B14" s="8" t="s">
        <v>318</v>
      </c>
      <c r="C14" s="8" t="s">
        <v>222</v>
      </c>
      <c r="D14" s="9">
        <v>0</v>
      </c>
      <c r="E14" s="9">
        <v>0</v>
      </c>
      <c r="F14" s="9">
        <v>0</v>
      </c>
      <c r="G14" s="9">
        <v>0</v>
      </c>
      <c r="H14" s="9">
        <v>0</v>
      </c>
      <c r="I14" s="9">
        <v>0</v>
      </c>
      <c r="J14" s="9">
        <v>0</v>
      </c>
      <c r="K14" s="9">
        <v>20</v>
      </c>
      <c r="L14" s="9">
        <v>0</v>
      </c>
      <c r="M14" s="9">
        <v>0</v>
      </c>
      <c r="P14" s="25">
        <f t="shared" si="0"/>
        <v>20</v>
      </c>
      <c r="Q14" s="25">
        <f ca="1">P14-IFERROR(SMALL(D14:INDIRECT(ADDRESS(ROW(),4+Settings[Value])), 1),0)-IFERROR(SMALL(D14:INDIRECT(ADDRESS(ROW(),4+Settings[Value])),2),0)</f>
        <v>20</v>
      </c>
    </row>
    <row r="15" spans="1:17" x14ac:dyDescent="0.2">
      <c r="A15" s="8" t="s">
        <v>411</v>
      </c>
      <c r="B15" s="8" t="s">
        <v>412</v>
      </c>
      <c r="C15" s="8" t="s">
        <v>413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19</v>
      </c>
      <c r="L15" s="9">
        <v>0</v>
      </c>
      <c r="M15" s="9">
        <v>0</v>
      </c>
      <c r="P15" s="25">
        <f t="shared" si="0"/>
        <v>19</v>
      </c>
      <c r="Q15" s="25">
        <f ca="1">P15-IFERROR(SMALL(D15:INDIRECT(ADDRESS(ROW(),4+Settings[Value])), 1),0)-IFERROR(SMALL(D15:INDIRECT(ADDRESS(ROW(),4+Settings[Value])),2),0)</f>
        <v>19</v>
      </c>
    </row>
    <row r="16" spans="1:17" x14ac:dyDescent="0.2">
      <c r="A16" s="8" t="s">
        <v>134</v>
      </c>
      <c r="B16" s="8" t="s">
        <v>7</v>
      </c>
      <c r="C16" s="8" t="s">
        <v>34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18</v>
      </c>
      <c r="L16" s="9">
        <v>0</v>
      </c>
      <c r="M16" s="9">
        <v>0</v>
      </c>
      <c r="P16" s="25">
        <f t="shared" si="0"/>
        <v>18</v>
      </c>
      <c r="Q16" s="25">
        <f ca="1">P16-IFERROR(SMALL(D16:INDIRECT(ADDRESS(ROW(),4+Settings[Value])), 1),0)-IFERROR(SMALL(D16:INDIRECT(ADDRESS(ROW(),4+Settings[Value])),2),0)</f>
        <v>18</v>
      </c>
    </row>
    <row r="17" spans="1:18" x14ac:dyDescent="0.2">
      <c r="A17" s="8" t="s">
        <v>1192</v>
      </c>
      <c r="B17" s="8" t="s">
        <v>511</v>
      </c>
      <c r="C17" s="8" t="s">
        <v>448</v>
      </c>
      <c r="D17" s="9">
        <v>0</v>
      </c>
      <c r="E17" s="9">
        <v>0</v>
      </c>
      <c r="F17" s="9">
        <v>0</v>
      </c>
      <c r="G17" s="9">
        <v>0</v>
      </c>
      <c r="H17" s="9">
        <v>17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P17" s="25">
        <f t="shared" si="0"/>
        <v>17</v>
      </c>
      <c r="Q17" s="25">
        <f ca="1">P17-IFERROR(SMALL(D17:INDIRECT(ADDRESS(ROW(),4+Settings[Value])), 1),0)-IFERROR(SMALL(D17:INDIRECT(ADDRESS(ROW(),4+Settings[Value])),2),0)</f>
        <v>17</v>
      </c>
    </row>
    <row r="18" spans="1:18" x14ac:dyDescent="0.2">
      <c r="A18" s="8" t="s">
        <v>409</v>
      </c>
      <c r="B18" s="8" t="s">
        <v>225</v>
      </c>
      <c r="C18" s="8" t="s">
        <v>88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17</v>
      </c>
      <c r="L18" s="9">
        <v>0</v>
      </c>
      <c r="M18" s="9">
        <v>0</v>
      </c>
      <c r="P18" s="25">
        <f t="shared" si="0"/>
        <v>17</v>
      </c>
      <c r="Q18" s="25">
        <f ca="1">P18-IFERROR(SMALL(D18:INDIRECT(ADDRESS(ROW(),4+Settings[Value])), 1),0)-IFERROR(SMALL(D18:INDIRECT(ADDRESS(ROW(),4+Settings[Value])),2),0)</f>
        <v>17</v>
      </c>
    </row>
    <row r="19" spans="1:18" x14ac:dyDescent="0.2">
      <c r="A19" s="8" t="s">
        <v>22</v>
      </c>
      <c r="B19" s="8" t="s">
        <v>23</v>
      </c>
      <c r="C19" s="8" t="s">
        <v>88</v>
      </c>
      <c r="D19" s="9">
        <v>15</v>
      </c>
      <c r="E19" s="9">
        <v>0</v>
      </c>
      <c r="F19" s="9">
        <v>1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>
        <v>0</v>
      </c>
      <c r="P19" s="9">
        <f t="shared" si="0"/>
        <v>16</v>
      </c>
      <c r="Q19" s="9">
        <f ca="1">P19-IFERROR(SMALL(D19:INDIRECT(ADDRESS(ROW(),4+Settings[Value])), 1),0)-IFERROR(SMALL(D19:INDIRECT(ADDRESS(ROW(),4+Settings[Value])),2),0)</f>
        <v>16</v>
      </c>
    </row>
    <row r="20" spans="1:18" x14ac:dyDescent="0.2">
      <c r="A20" s="8" t="s">
        <v>1194</v>
      </c>
      <c r="B20" s="8" t="s">
        <v>27</v>
      </c>
      <c r="C20" s="8" t="s">
        <v>448</v>
      </c>
      <c r="D20" s="9">
        <v>0</v>
      </c>
      <c r="E20" s="9">
        <v>0</v>
      </c>
      <c r="F20" s="9">
        <v>0</v>
      </c>
      <c r="G20" s="9">
        <v>0</v>
      </c>
      <c r="H20" s="9">
        <v>15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P20" s="25">
        <f t="shared" si="0"/>
        <v>15</v>
      </c>
      <c r="Q20" s="25">
        <f ca="1">P20-IFERROR(SMALL(D20:INDIRECT(ADDRESS(ROW(),4+Settings[Value])), 1),0)-IFERROR(SMALL(D20:INDIRECT(ADDRESS(ROW(),4+Settings[Value])),2),0)</f>
        <v>15</v>
      </c>
    </row>
    <row r="21" spans="1:18" x14ac:dyDescent="0.2">
      <c r="A21" s="8" t="s">
        <v>25</v>
      </c>
      <c r="B21" s="8" t="s">
        <v>24</v>
      </c>
      <c r="C21" s="8" t="s">
        <v>441</v>
      </c>
      <c r="D21" s="9">
        <v>14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P21" s="9">
        <f t="shared" si="0"/>
        <v>14</v>
      </c>
      <c r="Q21" s="9">
        <f ca="1">P21-IFERROR(SMALL(D21:INDIRECT(ADDRESS(ROW(),4+Settings[Value])), 1),0)-IFERROR(SMALL(D21:INDIRECT(ADDRESS(ROW(),4+Settings[Value])),2),0)</f>
        <v>14</v>
      </c>
    </row>
    <row r="22" spans="1:18" x14ac:dyDescent="0.2">
      <c r="A22" s="8" t="s">
        <v>1376</v>
      </c>
      <c r="B22" s="8" t="s">
        <v>174</v>
      </c>
      <c r="C22" s="8" t="s">
        <v>230</v>
      </c>
      <c r="H22" s="9">
        <v>0</v>
      </c>
      <c r="I22" s="9">
        <v>14</v>
      </c>
      <c r="J22" s="9">
        <v>0</v>
      </c>
      <c r="K22" s="9">
        <v>0</v>
      </c>
      <c r="L22" s="9">
        <v>0</v>
      </c>
      <c r="M22" s="9">
        <v>0</v>
      </c>
      <c r="P22" s="25">
        <f t="shared" si="0"/>
        <v>14</v>
      </c>
      <c r="Q22" s="25">
        <f ca="1">P22-IFERROR(SMALL(D22:INDIRECT(ADDRESS(ROW(),4+Settings[Value])), 1),0)-IFERROR(SMALL(D22:INDIRECT(ADDRESS(ROW(),4+Settings[Value])),2),0)</f>
        <v>14</v>
      </c>
    </row>
    <row r="23" spans="1:18" x14ac:dyDescent="0.2">
      <c r="A23" s="8" t="s">
        <v>1909</v>
      </c>
      <c r="B23" s="8" t="s">
        <v>383</v>
      </c>
      <c r="C23" s="8" t="s">
        <v>451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14</v>
      </c>
      <c r="M23" s="9">
        <v>0</v>
      </c>
      <c r="P23" s="25">
        <f t="shared" si="0"/>
        <v>14</v>
      </c>
      <c r="Q23" s="25">
        <f ca="1">P23-IFERROR(SMALL(D23:INDIRECT(ADDRESS(ROW(),4+Settings[Value])), 1),0)-IFERROR(SMALL(D23:INDIRECT(ADDRESS(ROW(),4+Settings[Value])),2),0)</f>
        <v>14</v>
      </c>
    </row>
    <row r="24" spans="1:18" x14ac:dyDescent="0.2">
      <c r="A24" s="8" t="s">
        <v>29</v>
      </c>
      <c r="B24" s="8" t="s">
        <v>30</v>
      </c>
      <c r="C24" s="8" t="s">
        <v>31</v>
      </c>
      <c r="D24" s="9">
        <v>11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P24" s="9">
        <f t="shared" si="0"/>
        <v>11</v>
      </c>
      <c r="Q24" s="9">
        <f ca="1">P24-IFERROR(SMALL(D24:INDIRECT(ADDRESS(ROW(),4+Settings[Value])), 1),0)-IFERROR(SMALL(D24:INDIRECT(ADDRESS(ROW(),4+Settings[Value])),2),0)</f>
        <v>11</v>
      </c>
    </row>
    <row r="25" spans="1:18" x14ac:dyDescent="0.2">
      <c r="A25" s="8" t="s">
        <v>527</v>
      </c>
      <c r="B25" s="8" t="s">
        <v>310</v>
      </c>
      <c r="C25" s="8" t="s">
        <v>451</v>
      </c>
      <c r="D25" s="9">
        <v>0</v>
      </c>
      <c r="E25" s="9">
        <v>11</v>
      </c>
      <c r="F25" s="9">
        <v>0</v>
      </c>
      <c r="G25" s="9">
        <v>0</v>
      </c>
      <c r="H25" s="9">
        <v>0</v>
      </c>
      <c r="I25" s="9">
        <v>0</v>
      </c>
      <c r="J25" s="9">
        <v>0</v>
      </c>
      <c r="K25" s="9">
        <v>0</v>
      </c>
      <c r="L25" s="9">
        <v>0</v>
      </c>
      <c r="M25" s="9">
        <v>0</v>
      </c>
      <c r="P25" s="25">
        <f t="shared" si="0"/>
        <v>11</v>
      </c>
      <c r="Q25" s="9">
        <f ca="1">P25-IFERROR(SMALL(D25:INDIRECT(ADDRESS(ROW(),4+Settings[Value])), 1),0)-IFERROR(SMALL(D25:INDIRECT(ADDRESS(ROW(),4+Settings[Value])),2),0)</f>
        <v>11</v>
      </c>
    </row>
    <row r="26" spans="1:18" x14ac:dyDescent="0.2">
      <c r="A26" s="8" t="s">
        <v>179</v>
      </c>
      <c r="B26" s="8" t="s">
        <v>24</v>
      </c>
      <c r="C26" s="8" t="s">
        <v>100</v>
      </c>
      <c r="D26" s="9">
        <v>0</v>
      </c>
      <c r="E26" s="9">
        <v>0</v>
      </c>
      <c r="F26" s="9">
        <v>0</v>
      </c>
      <c r="G26" s="9">
        <v>0</v>
      </c>
      <c r="H26" s="9">
        <v>0</v>
      </c>
      <c r="I26" s="9">
        <v>0</v>
      </c>
      <c r="J26" s="9">
        <v>0</v>
      </c>
      <c r="K26" s="9">
        <v>11</v>
      </c>
      <c r="L26" s="9">
        <v>0</v>
      </c>
      <c r="M26" s="9">
        <v>0</v>
      </c>
      <c r="P26" s="25">
        <f t="shared" si="0"/>
        <v>11</v>
      </c>
      <c r="Q26" s="25">
        <f ca="1">P26-IFERROR(SMALL(D26:INDIRECT(ADDRESS(ROW(),4+Settings[Value])), 1),0)-IFERROR(SMALL(D26:INDIRECT(ADDRESS(ROW(),4+Settings[Value])),2),0)</f>
        <v>11</v>
      </c>
    </row>
    <row r="27" spans="1:18" x14ac:dyDescent="0.2">
      <c r="A27" s="8" t="s">
        <v>186</v>
      </c>
      <c r="B27" s="8" t="s">
        <v>187</v>
      </c>
      <c r="C27" s="8" t="s">
        <v>8</v>
      </c>
      <c r="D27" s="9">
        <v>0</v>
      </c>
      <c r="E27" s="9">
        <v>0</v>
      </c>
      <c r="F27" s="9">
        <v>0</v>
      </c>
      <c r="G27" s="9">
        <v>0</v>
      </c>
      <c r="H27" s="9">
        <v>0</v>
      </c>
      <c r="I27" s="9">
        <v>0</v>
      </c>
      <c r="J27" s="9">
        <v>0</v>
      </c>
      <c r="K27" s="9">
        <v>10</v>
      </c>
      <c r="L27" s="9">
        <v>0</v>
      </c>
      <c r="M27" s="9">
        <v>0</v>
      </c>
      <c r="P27" s="25">
        <f t="shared" si="0"/>
        <v>10</v>
      </c>
      <c r="Q27" s="25">
        <f ca="1">P27-IFERROR(SMALL(D27:INDIRECT(ADDRESS(ROW(),4+Settings[Value])), 1),0)-IFERROR(SMALL(D27:INDIRECT(ADDRESS(ROW(),4+Settings[Value])),2),0)</f>
        <v>10</v>
      </c>
    </row>
    <row r="28" spans="1:18" x14ac:dyDescent="0.2">
      <c r="A28" s="8" t="s">
        <v>106</v>
      </c>
      <c r="B28" s="8" t="s">
        <v>107</v>
      </c>
      <c r="C28" s="8" t="s">
        <v>100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9</v>
      </c>
      <c r="K28" s="9">
        <v>0</v>
      </c>
      <c r="L28" s="9">
        <v>0</v>
      </c>
      <c r="M28" s="9">
        <v>0</v>
      </c>
      <c r="P28" s="25">
        <f t="shared" si="0"/>
        <v>9</v>
      </c>
      <c r="Q28" s="25">
        <f ca="1">P28-IFERROR(SMALL(D28:INDIRECT(ADDRESS(ROW(),4+Settings[Value])), 1),0)-IFERROR(SMALL(D28:INDIRECT(ADDRESS(ROW(),4+Settings[Value])),2),0)</f>
        <v>9</v>
      </c>
    </row>
    <row r="29" spans="1:18" x14ac:dyDescent="0.2">
      <c r="A29" s="8" t="s">
        <v>816</v>
      </c>
      <c r="B29" s="8" t="s">
        <v>817</v>
      </c>
      <c r="C29" s="8" t="s">
        <v>18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9</v>
      </c>
      <c r="L29" s="9">
        <v>0</v>
      </c>
      <c r="M29" s="9">
        <v>0</v>
      </c>
      <c r="P29" s="25">
        <f t="shared" si="0"/>
        <v>9</v>
      </c>
      <c r="Q29" s="25">
        <f ca="1">P29-IFERROR(SMALL(D29:INDIRECT(ADDRESS(ROW(),4+Settings[Value])), 1),0)-IFERROR(SMALL(D29:INDIRECT(ADDRESS(ROW(),4+Settings[Value])),2),0)</f>
        <v>9</v>
      </c>
      <c r="R29" s="9"/>
    </row>
    <row r="30" spans="1:18" x14ac:dyDescent="0.2">
      <c r="A30" s="8" t="s">
        <v>719</v>
      </c>
      <c r="B30" s="8" t="s">
        <v>720</v>
      </c>
      <c r="C30" s="8" t="s">
        <v>31</v>
      </c>
      <c r="D30" s="9">
        <v>0</v>
      </c>
      <c r="E30" s="9">
        <v>0</v>
      </c>
      <c r="F30" s="9">
        <v>8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P30" s="25">
        <f t="shared" si="0"/>
        <v>8</v>
      </c>
      <c r="Q30" s="9">
        <f ca="1">P30-IFERROR(SMALL(D30:INDIRECT(ADDRESS(ROW(),4+Settings[Value])), 1),0)-IFERROR(SMALL(D30:INDIRECT(ADDRESS(ROW(),4+Settings[Value])),2),0)</f>
        <v>8</v>
      </c>
      <c r="R30" s="9"/>
    </row>
    <row r="31" spans="1:18" x14ac:dyDescent="0.2">
      <c r="A31" s="8" t="s">
        <v>220</v>
      </c>
      <c r="B31" s="8" t="s">
        <v>221</v>
      </c>
      <c r="C31" s="8" t="s">
        <v>18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8</v>
      </c>
      <c r="L31" s="9">
        <v>0</v>
      </c>
      <c r="M31" s="9">
        <v>0</v>
      </c>
      <c r="P31" s="25">
        <f t="shared" si="0"/>
        <v>8</v>
      </c>
      <c r="Q31" s="25">
        <f ca="1">P31-IFERROR(SMALL(D31:INDIRECT(ADDRESS(ROW(),4+Settings[Value])), 1),0)-IFERROR(SMALL(D31:INDIRECT(ADDRESS(ROW(),4+Settings[Value])),2),0)</f>
        <v>8</v>
      </c>
      <c r="R31" s="9"/>
    </row>
    <row r="32" spans="1:18" x14ac:dyDescent="0.2">
      <c r="A32" s="8" t="s">
        <v>1504</v>
      </c>
      <c r="B32" s="8" t="s">
        <v>23</v>
      </c>
      <c r="C32" s="8" t="s">
        <v>44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7</v>
      </c>
      <c r="K32" s="9">
        <v>0</v>
      </c>
      <c r="L32" s="9">
        <v>0</v>
      </c>
      <c r="M32" s="9">
        <v>0</v>
      </c>
      <c r="P32" s="25">
        <f t="shared" si="0"/>
        <v>7</v>
      </c>
      <c r="Q32" s="25">
        <f ca="1">P32-IFERROR(SMALL(D32:INDIRECT(ADDRESS(ROW(),4+Settings[Value])), 1),0)-IFERROR(SMALL(D32:INDIRECT(ADDRESS(ROW(),4+Settings[Value])),2),0)</f>
        <v>7</v>
      </c>
      <c r="R32" s="9"/>
    </row>
    <row r="33" spans="1:18" x14ac:dyDescent="0.2">
      <c r="A33" s="8" t="s">
        <v>224</v>
      </c>
      <c r="B33" s="8" t="s">
        <v>225</v>
      </c>
      <c r="C33" s="8" t="s">
        <v>226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5</v>
      </c>
      <c r="L33" s="9">
        <v>0</v>
      </c>
      <c r="M33" s="9">
        <v>0</v>
      </c>
      <c r="P33" s="25">
        <f t="shared" si="0"/>
        <v>5</v>
      </c>
      <c r="Q33" s="25">
        <f ca="1">P33-IFERROR(SMALL(D33:INDIRECT(ADDRESS(ROW(),4+Settings[Value])), 1),0)-IFERROR(SMALL(D33:INDIRECT(ADDRESS(ROW(),4+Settings[Value])),2),0)</f>
        <v>5</v>
      </c>
      <c r="R33" s="9"/>
    </row>
    <row r="34" spans="1:18" x14ac:dyDescent="0.2">
      <c r="A34" s="8" t="s">
        <v>728</v>
      </c>
      <c r="B34" s="8" t="s">
        <v>730</v>
      </c>
      <c r="C34" s="8" t="s">
        <v>31</v>
      </c>
      <c r="D34" s="9">
        <v>0</v>
      </c>
      <c r="E34" s="9">
        <v>0</v>
      </c>
      <c r="F34" s="9">
        <v>4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P34" s="25">
        <f t="shared" si="0"/>
        <v>4</v>
      </c>
      <c r="Q34" s="9">
        <f ca="1">P34-IFERROR(SMALL(D34:INDIRECT(ADDRESS(ROW(),4+Settings[Value])), 1),0)-IFERROR(SMALL(D34:INDIRECT(ADDRESS(ROW(),4+Settings[Value])),2),0)</f>
        <v>4</v>
      </c>
      <c r="R34" s="9"/>
    </row>
    <row r="35" spans="1:18" x14ac:dyDescent="0.2">
      <c r="A35" s="8" t="s">
        <v>196</v>
      </c>
      <c r="B35" s="8" t="s">
        <v>128</v>
      </c>
      <c r="C35" s="8" t="s">
        <v>38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4</v>
      </c>
      <c r="L35" s="9">
        <v>0</v>
      </c>
      <c r="M35" s="9">
        <v>0</v>
      </c>
      <c r="P35" s="25">
        <f t="shared" si="0"/>
        <v>4</v>
      </c>
      <c r="Q35" s="25">
        <f ca="1">P35-IFERROR(SMALL(D35:INDIRECT(ADDRESS(ROW(),4+Settings[Value])), 1),0)-IFERROR(SMALL(D35:INDIRECT(ADDRESS(ROW(),4+Settings[Value])),2),0)</f>
        <v>4</v>
      </c>
      <c r="R35" s="9"/>
    </row>
    <row r="36" spans="1:18" x14ac:dyDescent="0.2">
      <c r="A36" s="8" t="s">
        <v>117</v>
      </c>
      <c r="B36" s="8" t="s">
        <v>139</v>
      </c>
      <c r="C36" s="8" t="s">
        <v>140</v>
      </c>
      <c r="D36" s="9">
        <v>0</v>
      </c>
      <c r="E36" s="9">
        <v>0</v>
      </c>
      <c r="F36" s="9">
        <v>0</v>
      </c>
      <c r="G36" s="9">
        <v>0</v>
      </c>
      <c r="H36" s="9">
        <v>0</v>
      </c>
      <c r="I36" s="9">
        <v>0</v>
      </c>
      <c r="J36" s="9">
        <v>0</v>
      </c>
      <c r="K36" s="9">
        <v>3</v>
      </c>
      <c r="L36" s="9">
        <v>0</v>
      </c>
      <c r="M36" s="9">
        <v>0</v>
      </c>
      <c r="P36" s="25">
        <f t="shared" si="0"/>
        <v>3</v>
      </c>
      <c r="Q36" s="25">
        <f ca="1">P36-IFERROR(SMALL(D36:INDIRECT(ADDRESS(ROW(),4+Settings[Value])), 1),0)-IFERROR(SMALL(D36:INDIRECT(ADDRESS(ROW(),4+Settings[Value])),2),0)</f>
        <v>3</v>
      </c>
    </row>
    <row r="37" spans="1:18" x14ac:dyDescent="0.2">
      <c r="A37" s="8" t="s">
        <v>732</v>
      </c>
      <c r="B37" s="8" t="s">
        <v>733</v>
      </c>
      <c r="C37" s="8" t="s">
        <v>100</v>
      </c>
      <c r="D37" s="9">
        <v>0</v>
      </c>
      <c r="E37" s="9">
        <v>0</v>
      </c>
      <c r="F37" s="9">
        <v>2</v>
      </c>
      <c r="G37" s="9">
        <v>0</v>
      </c>
      <c r="H37" s="9">
        <v>0</v>
      </c>
      <c r="I37" s="9">
        <v>0</v>
      </c>
      <c r="J37" s="9">
        <v>0</v>
      </c>
      <c r="K37" s="9">
        <v>0</v>
      </c>
      <c r="L37" s="9">
        <v>0</v>
      </c>
      <c r="M37" s="9">
        <v>0</v>
      </c>
      <c r="P37" s="25">
        <f t="shared" si="0"/>
        <v>2</v>
      </c>
      <c r="Q37" s="9">
        <f ca="1">P37-IFERROR(SMALL(D37:INDIRECT(ADDRESS(ROW(),4+Settings[Value])), 1),0)-IFERROR(SMALL(D37:INDIRECT(ADDRESS(ROW(),4+Settings[Value])),2),0)</f>
        <v>2</v>
      </c>
    </row>
    <row r="38" spans="1:18" x14ac:dyDescent="0.2">
      <c r="A38" s="8" t="s">
        <v>598</v>
      </c>
      <c r="B38" s="8" t="s">
        <v>599</v>
      </c>
      <c r="C38" s="8" t="s">
        <v>345</v>
      </c>
      <c r="D38" s="9">
        <v>0</v>
      </c>
      <c r="E38" s="9">
        <v>0</v>
      </c>
      <c r="F38" s="9">
        <v>0</v>
      </c>
      <c r="G38" s="9">
        <v>0</v>
      </c>
      <c r="H38" s="9">
        <v>0</v>
      </c>
      <c r="I38" s="9">
        <v>0</v>
      </c>
      <c r="J38" s="9">
        <v>0</v>
      </c>
      <c r="K38" s="9">
        <v>1</v>
      </c>
      <c r="L38" s="9">
        <v>0</v>
      </c>
      <c r="M38" s="9">
        <v>0</v>
      </c>
      <c r="P38" s="25">
        <f t="shared" si="0"/>
        <v>1</v>
      </c>
      <c r="Q38" s="25">
        <f ca="1">P38-IFERROR(SMALL(D38:INDIRECT(ADDRESS(ROW(),4+Settings[Value])), 1),0)-IFERROR(SMALL(D38:INDIRECT(ADDRESS(ROW(),4+Settings[Value])),2),0)</f>
        <v>1</v>
      </c>
      <c r="R38" s="9"/>
    </row>
    <row r="39" spans="1:18" x14ac:dyDescent="0.2">
      <c r="P39" s="25"/>
      <c r="Q39" s="9"/>
      <c r="R39" s="9"/>
    </row>
    <row r="40" spans="1:18" ht="13.5" thickBot="1" x14ac:dyDescent="0.25">
      <c r="A40" s="10" t="s">
        <v>39</v>
      </c>
      <c r="R40" s="9"/>
    </row>
    <row r="41" spans="1:18" ht="13.5" thickTop="1" x14ac:dyDescent="0.2">
      <c r="A41" s="11" t="s">
        <v>1</v>
      </c>
      <c r="B41" s="11" t="s">
        <v>2</v>
      </c>
      <c r="C41" s="11" t="s">
        <v>3</v>
      </c>
      <c r="D41" s="12" t="s">
        <v>461</v>
      </c>
      <c r="E41" s="12" t="s">
        <v>462</v>
      </c>
      <c r="F41" s="12" t="s">
        <v>463</v>
      </c>
      <c r="G41" s="12" t="s">
        <v>464</v>
      </c>
      <c r="H41" s="12" t="s">
        <v>465</v>
      </c>
      <c r="I41" s="12" t="s">
        <v>466</v>
      </c>
      <c r="J41" s="12" t="s">
        <v>467</v>
      </c>
      <c r="K41" s="12" t="s">
        <v>468</v>
      </c>
      <c r="L41" s="12" t="s">
        <v>469</v>
      </c>
      <c r="M41" s="12" t="s">
        <v>470</v>
      </c>
      <c r="N41" s="12" t="s">
        <v>471</v>
      </c>
      <c r="O41" s="12" t="s">
        <v>472</v>
      </c>
      <c r="P41" s="12" t="s">
        <v>460</v>
      </c>
      <c r="Q41" s="12" t="s">
        <v>500</v>
      </c>
      <c r="R41" s="9"/>
    </row>
    <row r="42" spans="1:18" x14ac:dyDescent="0.2">
      <c r="A42" s="8" t="s">
        <v>36</v>
      </c>
      <c r="B42" s="8" t="s">
        <v>37</v>
      </c>
      <c r="C42" s="8" t="s">
        <v>38</v>
      </c>
      <c r="D42" s="13">
        <v>20</v>
      </c>
      <c r="E42" s="13">
        <v>20</v>
      </c>
      <c r="F42" s="13">
        <v>19</v>
      </c>
      <c r="G42" s="13">
        <v>19</v>
      </c>
      <c r="H42" s="13">
        <v>20</v>
      </c>
      <c r="I42" s="13">
        <v>20</v>
      </c>
      <c r="J42" s="13">
        <v>20</v>
      </c>
      <c r="K42" s="13">
        <v>0</v>
      </c>
      <c r="L42" s="13">
        <v>20</v>
      </c>
      <c r="M42" s="13">
        <v>19</v>
      </c>
      <c r="N42" s="13"/>
      <c r="O42" s="13"/>
      <c r="P42" s="13">
        <f t="shared" ref="P42:P54" si="1">SUM(D42:O42)</f>
        <v>177</v>
      </c>
      <c r="Q42" s="9">
        <f ca="1">P42-IFERROR(SMALL(D42:INDIRECT(ADDRESS(ROW(),4+Settings[Value])), 1),0)-IFERROR(SMALL(D42:INDIRECT(ADDRESS(ROW(),4+Settings[Value])),2),0)</f>
        <v>158</v>
      </c>
    </row>
    <row r="43" spans="1:18" x14ac:dyDescent="0.2">
      <c r="A43" s="16" t="s">
        <v>42</v>
      </c>
      <c r="B43" s="16" t="s">
        <v>43</v>
      </c>
      <c r="C43" s="8" t="s">
        <v>44</v>
      </c>
      <c r="D43" s="13">
        <v>18</v>
      </c>
      <c r="E43" s="13">
        <v>0</v>
      </c>
      <c r="F43" s="13">
        <v>0</v>
      </c>
      <c r="G43" s="13">
        <v>18</v>
      </c>
      <c r="H43" s="13">
        <v>19</v>
      </c>
      <c r="I43" s="13">
        <v>19</v>
      </c>
      <c r="J43" s="13">
        <v>19</v>
      </c>
      <c r="K43" s="13">
        <v>18</v>
      </c>
      <c r="L43" s="13">
        <v>19</v>
      </c>
      <c r="M43" s="13">
        <v>20</v>
      </c>
      <c r="N43" s="13"/>
      <c r="O43" s="13"/>
      <c r="P43" s="13">
        <f t="shared" si="1"/>
        <v>150</v>
      </c>
      <c r="Q43" s="14">
        <f ca="1">P43-IFERROR(SMALL(D43:INDIRECT(ADDRESS(ROW(),4+Settings[Value])), 1),0)-IFERROR(SMALL(D43:INDIRECT(ADDRESS(ROW(),4+Settings[Value])),2),0)</f>
        <v>150</v>
      </c>
    </row>
    <row r="44" spans="1:18" x14ac:dyDescent="0.2">
      <c r="A44" s="16" t="s">
        <v>32</v>
      </c>
      <c r="B44" s="16" t="s">
        <v>48</v>
      </c>
      <c r="C44" s="8" t="s">
        <v>49</v>
      </c>
      <c r="D44" s="14">
        <v>16</v>
      </c>
      <c r="E44" s="14">
        <v>17</v>
      </c>
      <c r="F44" s="14">
        <v>12</v>
      </c>
      <c r="G44" s="14">
        <v>0</v>
      </c>
      <c r="H44" s="14">
        <v>16</v>
      </c>
      <c r="I44" s="14">
        <v>18</v>
      </c>
      <c r="J44" s="14">
        <v>17</v>
      </c>
      <c r="K44" s="14">
        <v>0</v>
      </c>
      <c r="L44" s="14">
        <v>18</v>
      </c>
      <c r="M44" s="14">
        <v>15</v>
      </c>
      <c r="N44" s="14"/>
      <c r="O44" s="14"/>
      <c r="P44" s="13">
        <f t="shared" si="1"/>
        <v>129</v>
      </c>
      <c r="Q44" s="14">
        <f ca="1">P44-IFERROR(SMALL(D44:INDIRECT(ADDRESS(ROW(),4+Settings[Value])), 1),0)-IFERROR(SMALL(D44:INDIRECT(ADDRESS(ROW(),4+Settings[Value])),2),0)</f>
        <v>129</v>
      </c>
      <c r="R44" s="9"/>
    </row>
    <row r="45" spans="1:18" x14ac:dyDescent="0.2">
      <c r="A45" s="15" t="s">
        <v>66</v>
      </c>
      <c r="B45" s="15" t="s">
        <v>67</v>
      </c>
      <c r="C45" s="8" t="s">
        <v>442</v>
      </c>
      <c r="D45" s="13">
        <v>15</v>
      </c>
      <c r="E45" s="13">
        <v>18</v>
      </c>
      <c r="F45" s="13">
        <v>13</v>
      </c>
      <c r="G45" s="13">
        <v>17</v>
      </c>
      <c r="H45" s="13">
        <v>15</v>
      </c>
      <c r="I45" s="13">
        <v>17</v>
      </c>
      <c r="J45" s="13">
        <v>14</v>
      </c>
      <c r="K45" s="13">
        <v>0</v>
      </c>
      <c r="L45" s="13">
        <v>17</v>
      </c>
      <c r="M45" s="13">
        <v>0</v>
      </c>
      <c r="N45" s="13"/>
      <c r="O45" s="13"/>
      <c r="P45" s="13">
        <f t="shared" si="1"/>
        <v>126</v>
      </c>
      <c r="Q45" s="14">
        <f ca="1">P45-IFERROR(SMALL(D45:INDIRECT(ADDRESS(ROW(),4+Settings[Value])), 1),0)-IFERROR(SMALL(D45:INDIRECT(ADDRESS(ROW(),4+Settings[Value])),2),0)</f>
        <v>126</v>
      </c>
      <c r="R45" s="9"/>
    </row>
    <row r="46" spans="1:18" x14ac:dyDescent="0.2">
      <c r="A46" s="16" t="s">
        <v>40</v>
      </c>
      <c r="B46" s="16" t="s">
        <v>41</v>
      </c>
      <c r="C46" s="8" t="s">
        <v>38</v>
      </c>
      <c r="D46" s="14">
        <v>19</v>
      </c>
      <c r="E46" s="14">
        <v>0</v>
      </c>
      <c r="F46" s="14">
        <v>20</v>
      </c>
      <c r="G46" s="14">
        <v>20</v>
      </c>
      <c r="H46" s="14">
        <v>0</v>
      </c>
      <c r="I46" s="14">
        <v>0</v>
      </c>
      <c r="J46" s="14">
        <v>0</v>
      </c>
      <c r="K46" s="14">
        <v>20</v>
      </c>
      <c r="L46" s="14">
        <v>0</v>
      </c>
      <c r="M46" s="14">
        <v>0</v>
      </c>
      <c r="N46" s="14"/>
      <c r="O46" s="14"/>
      <c r="P46" s="13">
        <f t="shared" si="1"/>
        <v>79</v>
      </c>
      <c r="Q46" s="14">
        <f ca="1">P46-IFERROR(SMALL(D46:INDIRECT(ADDRESS(ROW(),4+Settings[Value])), 1),0)-IFERROR(SMALL(D46:INDIRECT(ADDRESS(ROW(),4+Settings[Value])),2),0)</f>
        <v>79</v>
      </c>
      <c r="R46" s="9"/>
    </row>
    <row r="47" spans="1:18" x14ac:dyDescent="0.2">
      <c r="A47" s="15" t="s">
        <v>741</v>
      </c>
      <c r="B47" s="15" t="s">
        <v>742</v>
      </c>
      <c r="C47" s="16" t="s">
        <v>49</v>
      </c>
      <c r="D47" s="13">
        <v>0</v>
      </c>
      <c r="E47" s="13">
        <v>0</v>
      </c>
      <c r="F47" s="13">
        <v>17</v>
      </c>
      <c r="G47" s="13">
        <v>0</v>
      </c>
      <c r="H47" s="13">
        <v>18</v>
      </c>
      <c r="I47" s="13">
        <v>0</v>
      </c>
      <c r="J47" s="13">
        <v>0</v>
      </c>
      <c r="K47" s="13">
        <v>0</v>
      </c>
      <c r="L47" s="13">
        <v>0</v>
      </c>
      <c r="M47" s="13">
        <v>0</v>
      </c>
      <c r="N47" s="13"/>
      <c r="O47" s="13"/>
      <c r="P47" s="13">
        <f t="shared" si="1"/>
        <v>35</v>
      </c>
      <c r="Q47" s="14">
        <f ca="1">P47-IFERROR(SMALL(D47:INDIRECT(ADDRESS(ROW(),4+Settings[Value])), 1),0)-IFERROR(SMALL(D47:INDIRECT(ADDRESS(ROW(),4+Settings[Value])),2),0)</f>
        <v>35</v>
      </c>
    </row>
    <row r="48" spans="1:18" x14ac:dyDescent="0.2">
      <c r="A48" s="15" t="s">
        <v>556</v>
      </c>
      <c r="B48" s="15" t="s">
        <v>557</v>
      </c>
      <c r="C48" s="15" t="s">
        <v>8</v>
      </c>
      <c r="D48" s="13">
        <v>0</v>
      </c>
      <c r="E48" s="13">
        <v>16</v>
      </c>
      <c r="F48" s="13">
        <v>14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  <c r="L48" s="13">
        <v>0</v>
      </c>
      <c r="M48" s="13">
        <v>0</v>
      </c>
      <c r="N48" s="13"/>
      <c r="O48" s="13"/>
      <c r="P48" s="13">
        <f t="shared" si="1"/>
        <v>30</v>
      </c>
      <c r="Q48" s="13">
        <f ca="1">P48-IFERROR(SMALL(D48:INDIRECT(ADDRESS(ROW(),4+Settings[Value])), 1),0)-IFERROR(SMALL(D48:INDIRECT(ADDRESS(ROW(),4+Settings[Value])),2),0)</f>
        <v>30</v>
      </c>
    </row>
    <row r="49" spans="1:18" x14ac:dyDescent="0.2">
      <c r="A49" s="15" t="s">
        <v>1334</v>
      </c>
      <c r="B49" s="15" t="s">
        <v>1335</v>
      </c>
      <c r="C49" s="15" t="s">
        <v>238</v>
      </c>
      <c r="D49" s="13">
        <v>0</v>
      </c>
      <c r="E49" s="13">
        <v>0</v>
      </c>
      <c r="F49" s="13">
        <v>0</v>
      </c>
      <c r="G49" s="13">
        <v>0</v>
      </c>
      <c r="H49" s="13">
        <v>14</v>
      </c>
      <c r="I49" s="13">
        <v>0</v>
      </c>
      <c r="J49" s="13">
        <v>13</v>
      </c>
      <c r="K49" s="13">
        <v>0</v>
      </c>
      <c r="L49" s="13">
        <v>0</v>
      </c>
      <c r="M49" s="13">
        <v>0</v>
      </c>
      <c r="N49" s="13"/>
      <c r="O49" s="13"/>
      <c r="P49" s="13">
        <f t="shared" si="1"/>
        <v>27</v>
      </c>
      <c r="Q49" s="19">
        <f ca="1">P49-IFERROR(SMALL(D49:INDIRECT(ADDRESS(ROW(),4+Settings[Value])), 1),0)-IFERROR(SMALL(D49:INDIRECT(ADDRESS(ROW(),4+Settings[Value])),2),0)</f>
        <v>27</v>
      </c>
    </row>
    <row r="50" spans="1:18" x14ac:dyDescent="0.2">
      <c r="A50" s="15" t="s">
        <v>748</v>
      </c>
      <c r="B50" s="15" t="s">
        <v>747</v>
      </c>
      <c r="C50" s="15" t="s">
        <v>49</v>
      </c>
      <c r="D50" s="13">
        <v>0</v>
      </c>
      <c r="E50" s="13">
        <v>0</v>
      </c>
      <c r="F50" s="13">
        <v>15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  <c r="L50" s="13">
        <v>0</v>
      </c>
      <c r="M50" s="13">
        <v>0</v>
      </c>
      <c r="N50" s="13"/>
      <c r="O50" s="13"/>
      <c r="P50" s="13">
        <f t="shared" si="1"/>
        <v>15</v>
      </c>
      <c r="Q50" s="13">
        <f ca="1">P50-IFERROR(SMALL(D50:INDIRECT(ADDRESS(ROW(),4+Settings[Value])), 1),0)-IFERROR(SMALL(D50:INDIRECT(ADDRESS(ROW(),4+Settings[Value])),2),0)</f>
        <v>15</v>
      </c>
    </row>
    <row r="51" spans="1:18" x14ac:dyDescent="0.2">
      <c r="A51" s="15" t="s">
        <v>563</v>
      </c>
      <c r="B51" s="15" t="s">
        <v>330</v>
      </c>
      <c r="C51" s="15" t="s">
        <v>8</v>
      </c>
      <c r="D51" s="13">
        <v>0</v>
      </c>
      <c r="E51" s="13">
        <v>14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  <c r="L51" s="13">
        <v>0</v>
      </c>
      <c r="M51" s="13">
        <v>0</v>
      </c>
      <c r="N51" s="13"/>
      <c r="O51" s="13"/>
      <c r="P51" s="13">
        <f t="shared" si="1"/>
        <v>14</v>
      </c>
      <c r="Q51" s="13">
        <f ca="1">P51-IFERROR(SMALL(D51:INDIRECT(ADDRESS(ROW(),4+Settings[Value])), 1),0)-IFERROR(SMALL(D51:INDIRECT(ADDRESS(ROW(),4+Settings[Value])),2),0)</f>
        <v>14</v>
      </c>
      <c r="R51" s="9"/>
    </row>
    <row r="52" spans="1:18" x14ac:dyDescent="0.2">
      <c r="A52" s="15" t="s">
        <v>74</v>
      </c>
      <c r="B52" s="15" t="s">
        <v>75</v>
      </c>
      <c r="C52" s="15" t="s">
        <v>441</v>
      </c>
      <c r="D52" s="13">
        <v>13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  <c r="L52" s="13">
        <v>0</v>
      </c>
      <c r="M52" s="13">
        <v>0</v>
      </c>
      <c r="N52" s="13"/>
      <c r="O52" s="13"/>
      <c r="P52" s="13">
        <f t="shared" si="1"/>
        <v>13</v>
      </c>
      <c r="Q52" s="13">
        <f ca="1">P52-IFERROR(SMALL(D52:INDIRECT(ADDRESS(ROW(),4+Settings[Value])), 1),0)-IFERROR(SMALL(D52:INDIRECT(ADDRESS(ROW(),4+Settings[Value])),2),0)</f>
        <v>13</v>
      </c>
      <c r="R52" s="9"/>
    </row>
    <row r="53" spans="1:18" x14ac:dyDescent="0.2">
      <c r="A53" s="15" t="s">
        <v>750</v>
      </c>
      <c r="B53" s="15" t="s">
        <v>751</v>
      </c>
      <c r="C53" s="15" t="s">
        <v>31</v>
      </c>
      <c r="D53" s="13">
        <v>0</v>
      </c>
      <c r="E53" s="13">
        <v>0</v>
      </c>
      <c r="F53" s="13">
        <v>11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  <c r="L53" s="13">
        <v>0</v>
      </c>
      <c r="M53" s="13">
        <v>0</v>
      </c>
      <c r="N53" s="13"/>
      <c r="O53" s="13"/>
      <c r="P53" s="13">
        <f t="shared" si="1"/>
        <v>11</v>
      </c>
      <c r="Q53" s="13">
        <f ca="1">P53-IFERROR(SMALL(D53:INDIRECT(ADDRESS(ROW(),4+Settings[Value])), 1),0)-IFERROR(SMALL(D53:INDIRECT(ADDRESS(ROW(),4+Settings[Value])),2),0)</f>
        <v>11</v>
      </c>
      <c r="R53" s="9"/>
    </row>
    <row r="54" spans="1:18" x14ac:dyDescent="0.2">
      <c r="A54" s="15" t="s">
        <v>752</v>
      </c>
      <c r="B54" s="15" t="s">
        <v>753</v>
      </c>
      <c r="C54" s="15" t="s">
        <v>49</v>
      </c>
      <c r="D54" s="13">
        <v>0</v>
      </c>
      <c r="E54" s="13">
        <v>0</v>
      </c>
      <c r="F54" s="13">
        <v>10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  <c r="L54" s="13">
        <v>0</v>
      </c>
      <c r="M54" s="13">
        <v>0</v>
      </c>
      <c r="N54" s="13"/>
      <c r="O54" s="13"/>
      <c r="P54" s="13">
        <f t="shared" si="1"/>
        <v>10</v>
      </c>
      <c r="Q54" s="13">
        <f ca="1">P54-IFERROR(SMALL(D54:INDIRECT(ADDRESS(ROW(),4+Settings[Value])), 1),0)-IFERROR(SMALL(D54:INDIRECT(ADDRESS(ROW(),4+Settings[Value])),2),0)</f>
        <v>10</v>
      </c>
      <c r="R54" s="9"/>
    </row>
    <row r="55" spans="1:18" x14ac:dyDescent="0.2">
      <c r="A55" s="16"/>
      <c r="B55" s="16"/>
      <c r="C55" s="16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9"/>
    </row>
    <row r="56" spans="1:18" x14ac:dyDescent="0.2">
      <c r="A56" s="16"/>
      <c r="B56" s="16"/>
      <c r="C56" s="16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9"/>
    </row>
    <row r="57" spans="1:18" x14ac:dyDescent="0.2">
      <c r="A57" s="16"/>
      <c r="B57" s="16"/>
      <c r="C57" s="16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9"/>
    </row>
    <row r="58" spans="1:18" x14ac:dyDescent="0.2">
      <c r="A58" s="16"/>
      <c r="B58" s="16"/>
      <c r="C58" s="16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9"/>
    </row>
    <row r="59" spans="1:18" ht="13.5" thickBot="1" x14ac:dyDescent="0.25">
      <c r="A59" s="10" t="s">
        <v>86</v>
      </c>
    </row>
    <row r="60" spans="1:18" ht="13.5" thickTop="1" x14ac:dyDescent="0.2">
      <c r="A60" s="11" t="s">
        <v>1</v>
      </c>
      <c r="B60" s="11" t="s">
        <v>2</v>
      </c>
      <c r="C60" s="11" t="s">
        <v>3</v>
      </c>
      <c r="D60" s="12" t="s">
        <v>461</v>
      </c>
      <c r="E60" s="12" t="s">
        <v>462</v>
      </c>
      <c r="F60" s="12" t="s">
        <v>463</v>
      </c>
      <c r="G60" s="12" t="s">
        <v>464</v>
      </c>
      <c r="H60" s="12" t="s">
        <v>465</v>
      </c>
      <c r="I60" s="12" t="s">
        <v>466</v>
      </c>
      <c r="J60" s="12" t="s">
        <v>467</v>
      </c>
      <c r="K60" s="12" t="s">
        <v>468</v>
      </c>
      <c r="L60" s="12" t="s">
        <v>469</v>
      </c>
      <c r="M60" s="12" t="s">
        <v>470</v>
      </c>
      <c r="N60" s="12" t="s">
        <v>471</v>
      </c>
      <c r="O60" s="12" t="s">
        <v>472</v>
      </c>
      <c r="P60" s="12" t="s">
        <v>460</v>
      </c>
      <c r="Q60" s="12" t="s">
        <v>500</v>
      </c>
    </row>
    <row r="61" spans="1:18" x14ac:dyDescent="0.2">
      <c r="A61" s="8" t="s">
        <v>89</v>
      </c>
      <c r="B61" s="8" t="s">
        <v>90</v>
      </c>
      <c r="C61" s="17" t="s">
        <v>91</v>
      </c>
      <c r="D61" s="13">
        <v>18</v>
      </c>
      <c r="E61" s="13">
        <v>20</v>
      </c>
      <c r="F61" s="13">
        <v>18</v>
      </c>
      <c r="G61" s="13">
        <v>0</v>
      </c>
      <c r="H61" s="13">
        <v>16</v>
      </c>
      <c r="I61" s="13">
        <v>19</v>
      </c>
      <c r="J61" s="13">
        <v>0</v>
      </c>
      <c r="K61" s="13">
        <v>0</v>
      </c>
      <c r="L61" s="13">
        <v>20</v>
      </c>
      <c r="M61" s="13">
        <v>0</v>
      </c>
      <c r="N61" s="13"/>
      <c r="O61" s="13"/>
      <c r="P61" s="13">
        <f t="shared" ref="P61:P71" si="2">SUM(D61:O61)</f>
        <v>111</v>
      </c>
      <c r="Q61" s="9">
        <f ca="1">P61-IFERROR(SMALL(D61:INDIRECT(ADDRESS(ROW(),4+Settings[Value])), 1),0)-IFERROR(SMALL(D61:INDIRECT(ADDRESS(ROW(),4+Settings[Value])),2),0)</f>
        <v>111</v>
      </c>
    </row>
    <row r="62" spans="1:18" x14ac:dyDescent="0.2">
      <c r="A62" s="8" t="s">
        <v>93</v>
      </c>
      <c r="B62" s="8" t="s">
        <v>92</v>
      </c>
      <c r="C62" s="17" t="s">
        <v>91</v>
      </c>
      <c r="D62" s="13">
        <v>17</v>
      </c>
      <c r="E62" s="13">
        <v>0</v>
      </c>
      <c r="F62" s="13">
        <v>20</v>
      </c>
      <c r="G62" s="13">
        <v>0</v>
      </c>
      <c r="H62" s="13">
        <v>18</v>
      </c>
      <c r="I62" s="13">
        <v>0</v>
      </c>
      <c r="J62" s="13">
        <v>0</v>
      </c>
      <c r="K62" s="13">
        <v>0</v>
      </c>
      <c r="L62" s="13">
        <v>0</v>
      </c>
      <c r="M62" s="13">
        <v>20</v>
      </c>
      <c r="N62" s="13"/>
      <c r="O62" s="13"/>
      <c r="P62" s="13">
        <f t="shared" si="2"/>
        <v>75</v>
      </c>
      <c r="Q62" s="14">
        <f ca="1">P62-IFERROR(SMALL(D62:INDIRECT(ADDRESS(ROW(),4+Settings[Value])), 1),0)-IFERROR(SMALL(D62:INDIRECT(ADDRESS(ROW(),4+Settings[Value])),2),0)</f>
        <v>75</v>
      </c>
    </row>
    <row r="63" spans="1:18" x14ac:dyDescent="0.2">
      <c r="A63" s="8" t="s">
        <v>94</v>
      </c>
      <c r="B63" s="8" t="s">
        <v>95</v>
      </c>
      <c r="C63" s="17" t="s">
        <v>91</v>
      </c>
      <c r="D63" s="14">
        <v>16</v>
      </c>
      <c r="E63" s="14">
        <v>0</v>
      </c>
      <c r="F63" s="14">
        <v>17</v>
      </c>
      <c r="G63" s="14">
        <v>0</v>
      </c>
      <c r="H63" s="14">
        <v>17</v>
      </c>
      <c r="I63" s="14">
        <v>0</v>
      </c>
      <c r="J63" s="14">
        <v>0</v>
      </c>
      <c r="K63" s="14">
        <v>0</v>
      </c>
      <c r="L63" s="14">
        <v>0</v>
      </c>
      <c r="M63" s="14">
        <v>19</v>
      </c>
      <c r="N63" s="14"/>
      <c r="O63" s="14"/>
      <c r="P63" s="13">
        <f t="shared" si="2"/>
        <v>69</v>
      </c>
      <c r="Q63" s="14">
        <f ca="1">P63-IFERROR(SMALL(D63:INDIRECT(ADDRESS(ROW(),4+Settings[Value])), 1),0)-IFERROR(SMALL(D63:INDIRECT(ADDRESS(ROW(),4+Settings[Value])),2),0)</f>
        <v>69</v>
      </c>
    </row>
    <row r="64" spans="1:18" x14ac:dyDescent="0.2">
      <c r="A64" s="16" t="s">
        <v>1308</v>
      </c>
      <c r="B64" s="16" t="s">
        <v>257</v>
      </c>
      <c r="C64" s="17" t="s">
        <v>422</v>
      </c>
      <c r="D64" s="14">
        <v>0</v>
      </c>
      <c r="E64" s="14">
        <v>0</v>
      </c>
      <c r="F64" s="14">
        <v>0</v>
      </c>
      <c r="G64" s="14">
        <v>0</v>
      </c>
      <c r="H64" s="14">
        <v>20</v>
      </c>
      <c r="I64" s="14">
        <v>0</v>
      </c>
      <c r="J64" s="14">
        <v>0</v>
      </c>
      <c r="K64" s="14">
        <v>20</v>
      </c>
      <c r="L64" s="14">
        <v>0</v>
      </c>
      <c r="M64" s="14">
        <v>0</v>
      </c>
      <c r="N64" s="14"/>
      <c r="O64" s="14"/>
      <c r="P64" s="13">
        <f t="shared" si="2"/>
        <v>40</v>
      </c>
      <c r="Q64" s="22">
        <f ca="1">P64-IFERROR(SMALL(D64:INDIRECT(ADDRESS(ROW(),4+Settings[Value])), 1),0)-IFERROR(SMALL(D64:INDIRECT(ADDRESS(ROW(),4+Settings[Value])),2),0)</f>
        <v>40</v>
      </c>
    </row>
    <row r="65" spans="1:18" x14ac:dyDescent="0.2">
      <c r="A65" s="8" t="s">
        <v>22</v>
      </c>
      <c r="B65" s="8" t="s">
        <v>87</v>
      </c>
      <c r="C65" s="17" t="s">
        <v>88</v>
      </c>
      <c r="D65" s="14">
        <v>19</v>
      </c>
      <c r="E65" s="14">
        <v>0</v>
      </c>
      <c r="F65" s="14">
        <v>19</v>
      </c>
      <c r="G65" s="14">
        <v>0</v>
      </c>
      <c r="H65" s="14">
        <v>0</v>
      </c>
      <c r="I65" s="14">
        <v>0</v>
      </c>
      <c r="J65" s="14">
        <v>0</v>
      </c>
      <c r="K65" s="14">
        <v>0</v>
      </c>
      <c r="L65" s="14">
        <v>0</v>
      </c>
      <c r="M65" s="14">
        <v>0</v>
      </c>
      <c r="N65" s="14"/>
      <c r="O65" s="14"/>
      <c r="P65" s="13">
        <f t="shared" si="2"/>
        <v>38</v>
      </c>
      <c r="Q65" s="14">
        <f ca="1">P65-IFERROR(SMALL(D65:INDIRECT(ADDRESS(ROW(),4+Settings[Value])), 1),0)-IFERROR(SMALL(D65:INDIRECT(ADDRESS(ROW(),4+Settings[Value])),2),0)</f>
        <v>38</v>
      </c>
    </row>
    <row r="66" spans="1:18" x14ac:dyDescent="0.2">
      <c r="A66" s="8" t="s">
        <v>84</v>
      </c>
      <c r="B66" s="8" t="s">
        <v>85</v>
      </c>
      <c r="C66" s="17" t="s">
        <v>442</v>
      </c>
      <c r="D66" s="14">
        <v>20</v>
      </c>
      <c r="E66" s="14">
        <v>0</v>
      </c>
      <c r="F66" s="14">
        <v>0</v>
      </c>
      <c r="G66" s="14">
        <v>0</v>
      </c>
      <c r="H66" s="14">
        <v>0</v>
      </c>
      <c r="I66" s="14">
        <v>0</v>
      </c>
      <c r="J66" s="14">
        <v>0</v>
      </c>
      <c r="K66" s="14">
        <v>0</v>
      </c>
      <c r="L66" s="14">
        <v>0</v>
      </c>
      <c r="M66" s="14">
        <v>0</v>
      </c>
      <c r="N66" s="14"/>
      <c r="O66" s="14"/>
      <c r="P66" s="13">
        <f t="shared" si="2"/>
        <v>20</v>
      </c>
      <c r="Q66" s="14">
        <f ca="1">P66-IFERROR(SMALL(D66:INDIRECT(ADDRESS(ROW(),4+Settings[Value])), 1),0)-IFERROR(SMALL(D66:INDIRECT(ADDRESS(ROW(),4+Settings[Value])),2),0)</f>
        <v>20</v>
      </c>
      <c r="R66" s="9"/>
    </row>
    <row r="67" spans="1:18" x14ac:dyDescent="0.2">
      <c r="A67" s="15" t="s">
        <v>1259</v>
      </c>
      <c r="B67" s="15" t="s">
        <v>1104</v>
      </c>
      <c r="C67" s="17" t="s">
        <v>1383</v>
      </c>
      <c r="D67" s="13"/>
      <c r="E67" s="13"/>
      <c r="F67" s="13"/>
      <c r="G67" s="13"/>
      <c r="H67" s="13"/>
      <c r="I67" s="13">
        <v>20</v>
      </c>
      <c r="J67" s="13">
        <v>0</v>
      </c>
      <c r="K67" s="13">
        <v>0</v>
      </c>
      <c r="L67" s="13">
        <v>0</v>
      </c>
      <c r="M67" s="13">
        <v>0</v>
      </c>
      <c r="N67" s="13"/>
      <c r="O67" s="13"/>
      <c r="P67" s="13">
        <f t="shared" si="2"/>
        <v>20</v>
      </c>
      <c r="Q67" s="19">
        <f ca="1">P67-IFERROR(SMALL(D67:INDIRECT(ADDRESS(ROW(),4+Settings[Value])), 1),0)-IFERROR(SMALL(D67:INDIRECT(ADDRESS(ROW(),4+Settings[Value])),2),0)</f>
        <v>20</v>
      </c>
      <c r="R67" s="9"/>
    </row>
    <row r="68" spans="1:18" x14ac:dyDescent="0.2">
      <c r="A68" s="15" t="s">
        <v>1612</v>
      </c>
      <c r="B68" s="15" t="s">
        <v>1613</v>
      </c>
      <c r="C68" s="17" t="s">
        <v>1546</v>
      </c>
      <c r="D68" s="13"/>
      <c r="E68" s="13"/>
      <c r="F68" s="13"/>
      <c r="G68" s="13"/>
      <c r="H68" s="13"/>
      <c r="I68" s="13"/>
      <c r="J68" s="13">
        <v>20</v>
      </c>
      <c r="K68" s="13">
        <v>0</v>
      </c>
      <c r="L68" s="13">
        <v>0</v>
      </c>
      <c r="M68" s="13">
        <v>0</v>
      </c>
      <c r="N68" s="13"/>
      <c r="O68" s="13"/>
      <c r="P68" s="13">
        <f t="shared" si="2"/>
        <v>20</v>
      </c>
      <c r="Q68" s="19">
        <f ca="1">P68-IFERROR(SMALL(D68:INDIRECT(ADDRESS(ROW(),4+Settings[Value])), 1),0)-IFERROR(SMALL(D68:INDIRECT(ADDRESS(ROW(),4+Settings[Value])),2),0)</f>
        <v>20</v>
      </c>
      <c r="R68" s="9"/>
    </row>
    <row r="69" spans="1:18" x14ac:dyDescent="0.2">
      <c r="A69" s="15" t="s">
        <v>1312</v>
      </c>
      <c r="B69" s="15" t="s">
        <v>1311</v>
      </c>
      <c r="C69" s="17" t="s">
        <v>1313</v>
      </c>
      <c r="D69" s="13">
        <v>0</v>
      </c>
      <c r="E69" s="13">
        <v>0</v>
      </c>
      <c r="F69" s="13">
        <v>0</v>
      </c>
      <c r="G69" s="13">
        <v>0</v>
      </c>
      <c r="H69" s="13">
        <v>19</v>
      </c>
      <c r="I69" s="13">
        <v>0</v>
      </c>
      <c r="J69" s="13">
        <v>0</v>
      </c>
      <c r="K69" s="13">
        <v>0</v>
      </c>
      <c r="L69" s="13">
        <v>0</v>
      </c>
      <c r="M69" s="13">
        <v>0</v>
      </c>
      <c r="N69" s="13"/>
      <c r="O69" s="13"/>
      <c r="P69" s="13">
        <f t="shared" si="2"/>
        <v>19</v>
      </c>
      <c r="Q69" s="19">
        <f ca="1">P69-IFERROR(SMALL(D69:INDIRECT(ADDRESS(ROW(),4+Settings[Value])), 1),0)-IFERROR(SMALL(D69:INDIRECT(ADDRESS(ROW(),4+Settings[Value])),2),0)</f>
        <v>19</v>
      </c>
      <c r="R69" s="9"/>
    </row>
    <row r="70" spans="1:18" x14ac:dyDescent="0.2">
      <c r="A70" s="15" t="s">
        <v>1615</v>
      </c>
      <c r="B70" s="15" t="s">
        <v>1616</v>
      </c>
      <c r="C70" s="17" t="s">
        <v>1617</v>
      </c>
      <c r="D70" s="13"/>
      <c r="E70" s="13"/>
      <c r="F70" s="13"/>
      <c r="G70" s="13"/>
      <c r="H70" s="13"/>
      <c r="I70" s="13"/>
      <c r="J70" s="13">
        <v>19</v>
      </c>
      <c r="K70" s="13">
        <v>0</v>
      </c>
      <c r="L70" s="13">
        <v>0</v>
      </c>
      <c r="M70" s="13">
        <v>0</v>
      </c>
      <c r="N70" s="13"/>
      <c r="O70" s="13"/>
      <c r="P70" s="13">
        <f t="shared" si="2"/>
        <v>19</v>
      </c>
      <c r="Q70" s="19">
        <f ca="1">P70-IFERROR(SMALL(D70:INDIRECT(ADDRESS(ROW(),4+Settings[Value])), 1),0)-IFERROR(SMALL(D70:INDIRECT(ADDRESS(ROW(),4+Settings[Value])),2),0)</f>
        <v>19</v>
      </c>
      <c r="R70" s="9"/>
    </row>
    <row r="71" spans="1:18" x14ac:dyDescent="0.2">
      <c r="A71" s="15" t="s">
        <v>96</v>
      </c>
      <c r="B71" s="15" t="s">
        <v>92</v>
      </c>
      <c r="C71" s="17" t="s">
        <v>97</v>
      </c>
      <c r="D71" s="13">
        <v>15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  <c r="L71" s="13">
        <v>0</v>
      </c>
      <c r="M71" s="13">
        <v>0</v>
      </c>
      <c r="N71" s="13"/>
      <c r="O71" s="13"/>
      <c r="P71" s="13">
        <f t="shared" si="2"/>
        <v>15</v>
      </c>
      <c r="Q71" s="13">
        <f ca="1">P71-IFERROR(SMALL(D71:INDIRECT(ADDRESS(ROW(),4+Settings[Value])), 1),0)-IFERROR(SMALL(D71:INDIRECT(ADDRESS(ROW(),4+Settings[Value])),2),0)</f>
        <v>15</v>
      </c>
      <c r="R71" s="9"/>
    </row>
    <row r="72" spans="1:18" x14ac:dyDescent="0.2">
      <c r="A72" s="16"/>
      <c r="B72" s="16"/>
      <c r="C72" s="17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22"/>
    </row>
    <row r="73" spans="1:18" ht="13.5" thickBot="1" x14ac:dyDescent="0.25">
      <c r="A73" s="10" t="s">
        <v>101</v>
      </c>
      <c r="R73" s="9"/>
    </row>
    <row r="74" spans="1:18" ht="13.5" thickTop="1" x14ac:dyDescent="0.2">
      <c r="A74" s="11" t="s">
        <v>1</v>
      </c>
      <c r="B74" s="11" t="s">
        <v>2</v>
      </c>
      <c r="C74" s="11" t="s">
        <v>3</v>
      </c>
      <c r="D74" s="12" t="s">
        <v>461</v>
      </c>
      <c r="E74" s="12" t="s">
        <v>462</v>
      </c>
      <c r="F74" s="12" t="s">
        <v>463</v>
      </c>
      <c r="G74" s="12" t="s">
        <v>464</v>
      </c>
      <c r="H74" s="12" t="s">
        <v>465</v>
      </c>
      <c r="I74" s="12" t="s">
        <v>466</v>
      </c>
      <c r="J74" s="12" t="s">
        <v>467</v>
      </c>
      <c r="K74" s="12" t="s">
        <v>468</v>
      </c>
      <c r="L74" s="12" t="s">
        <v>469</v>
      </c>
      <c r="M74" s="12" t="s">
        <v>470</v>
      </c>
      <c r="N74" s="12" t="s">
        <v>471</v>
      </c>
      <c r="O74" s="12" t="s">
        <v>472</v>
      </c>
      <c r="P74" s="12" t="s">
        <v>460</v>
      </c>
      <c r="Q74" s="12" t="s">
        <v>500</v>
      </c>
    </row>
    <row r="75" spans="1:18" x14ac:dyDescent="0.2">
      <c r="A75" s="15" t="s">
        <v>98</v>
      </c>
      <c r="B75" s="15" t="s">
        <v>99</v>
      </c>
      <c r="C75" s="18" t="s">
        <v>100</v>
      </c>
      <c r="D75" s="13">
        <v>20</v>
      </c>
      <c r="E75" s="13">
        <v>0</v>
      </c>
      <c r="F75" s="13">
        <v>19</v>
      </c>
      <c r="G75" s="13">
        <v>0</v>
      </c>
      <c r="H75" s="13">
        <v>20</v>
      </c>
      <c r="I75" s="13">
        <v>20</v>
      </c>
      <c r="J75" s="13">
        <v>18</v>
      </c>
      <c r="K75" s="13">
        <v>20</v>
      </c>
      <c r="L75" s="13">
        <v>20</v>
      </c>
      <c r="M75" s="13">
        <v>20</v>
      </c>
      <c r="N75" s="13"/>
      <c r="O75" s="13"/>
      <c r="P75" s="13">
        <f t="shared" ref="P75:P82" si="3">SUM(D75:O75)</f>
        <v>157</v>
      </c>
      <c r="Q75" s="14">
        <f ca="1">P75-IFERROR(SMALL(D75:INDIRECT(ADDRESS(ROW(),4+Settings[Value])), 1),0)-IFERROR(SMALL(D75:INDIRECT(ADDRESS(ROW(),4+Settings[Value])),2),0)</f>
        <v>157</v>
      </c>
    </row>
    <row r="76" spans="1:18" x14ac:dyDescent="0.2">
      <c r="A76" s="15" t="s">
        <v>104</v>
      </c>
      <c r="B76" s="15" t="s">
        <v>105</v>
      </c>
      <c r="C76" s="18" t="s">
        <v>100</v>
      </c>
      <c r="D76" s="13">
        <v>18</v>
      </c>
      <c r="E76" s="13">
        <v>20</v>
      </c>
      <c r="F76" s="13">
        <v>18</v>
      </c>
      <c r="G76" s="13">
        <v>0</v>
      </c>
      <c r="H76" s="13">
        <v>18</v>
      </c>
      <c r="I76" s="13">
        <v>18</v>
      </c>
      <c r="J76" s="13">
        <v>16</v>
      </c>
      <c r="K76" s="13">
        <v>18</v>
      </c>
      <c r="L76" s="13">
        <v>19</v>
      </c>
      <c r="M76" s="13">
        <v>0</v>
      </c>
      <c r="N76" s="13"/>
      <c r="O76" s="13"/>
      <c r="P76" s="13">
        <f t="shared" si="3"/>
        <v>145</v>
      </c>
      <c r="Q76" s="9">
        <f ca="1">P76-IFERROR(SMALL(D76:INDIRECT(ADDRESS(ROW(),4+Settings[Value])), 1),0)-IFERROR(SMALL(D76:INDIRECT(ADDRESS(ROW(),4+Settings[Value])),2),0)</f>
        <v>145</v>
      </c>
    </row>
    <row r="77" spans="1:18" x14ac:dyDescent="0.2">
      <c r="A77" s="15" t="s">
        <v>102</v>
      </c>
      <c r="B77" s="15" t="s">
        <v>103</v>
      </c>
      <c r="C77" s="18" t="s">
        <v>100</v>
      </c>
      <c r="D77" s="14">
        <v>19</v>
      </c>
      <c r="E77" s="14">
        <v>0</v>
      </c>
      <c r="F77" s="14">
        <v>0</v>
      </c>
      <c r="G77" s="14">
        <v>0</v>
      </c>
      <c r="H77" s="14">
        <v>19</v>
      </c>
      <c r="I77" s="14">
        <v>19</v>
      </c>
      <c r="J77" s="14">
        <v>17</v>
      </c>
      <c r="K77" s="14">
        <v>19</v>
      </c>
      <c r="L77" s="14">
        <v>0</v>
      </c>
      <c r="M77" s="14">
        <v>0</v>
      </c>
      <c r="N77" s="14"/>
      <c r="O77" s="14"/>
      <c r="P77" s="13">
        <f t="shared" si="3"/>
        <v>93</v>
      </c>
      <c r="Q77" s="14">
        <f ca="1">P77-IFERROR(SMALL(D77:INDIRECT(ADDRESS(ROW(),4+Settings[Value])), 1),0)-IFERROR(SMALL(D77:INDIRECT(ADDRESS(ROW(),4+Settings[Value])),2),0)</f>
        <v>93</v>
      </c>
      <c r="R77" s="9"/>
    </row>
    <row r="78" spans="1:18" x14ac:dyDescent="0.2">
      <c r="A78" s="15" t="s">
        <v>762</v>
      </c>
      <c r="B78" s="15" t="s">
        <v>763</v>
      </c>
      <c r="C78" s="18" t="s">
        <v>764</v>
      </c>
      <c r="D78" s="13">
        <v>0</v>
      </c>
      <c r="E78" s="13">
        <v>0</v>
      </c>
      <c r="F78" s="13">
        <v>20</v>
      </c>
      <c r="G78" s="13">
        <v>0</v>
      </c>
      <c r="H78" s="13">
        <v>0</v>
      </c>
      <c r="I78" s="13">
        <v>0</v>
      </c>
      <c r="J78" s="13">
        <v>19</v>
      </c>
      <c r="K78" s="13">
        <v>0</v>
      </c>
      <c r="L78" s="13">
        <v>0</v>
      </c>
      <c r="M78" s="13">
        <v>0</v>
      </c>
      <c r="N78" s="13"/>
      <c r="O78" s="13"/>
      <c r="P78" s="13">
        <f t="shared" si="3"/>
        <v>39</v>
      </c>
      <c r="Q78" s="13">
        <f ca="1">P78-IFERROR(SMALL(D78:INDIRECT(ADDRESS(ROW(),4+Settings[Value])), 1),0)-IFERROR(SMALL(D78:INDIRECT(ADDRESS(ROW(),4+Settings[Value])),2),0)</f>
        <v>39</v>
      </c>
      <c r="R78" s="9"/>
    </row>
    <row r="79" spans="1:18" x14ac:dyDescent="0.2">
      <c r="A79" s="15" t="s">
        <v>1544</v>
      </c>
      <c r="B79" s="15" t="s">
        <v>1545</v>
      </c>
      <c r="C79" s="18" t="s">
        <v>1546</v>
      </c>
      <c r="D79" s="13"/>
      <c r="E79" s="13"/>
      <c r="F79" s="13"/>
      <c r="G79" s="13"/>
      <c r="H79" s="13"/>
      <c r="I79" s="13"/>
      <c r="J79" s="13">
        <v>20</v>
      </c>
      <c r="K79" s="13">
        <v>0</v>
      </c>
      <c r="L79" s="13">
        <v>0</v>
      </c>
      <c r="M79" s="13">
        <v>0</v>
      </c>
      <c r="N79" s="13"/>
      <c r="O79" s="13"/>
      <c r="P79" s="13">
        <f t="shared" si="3"/>
        <v>20</v>
      </c>
      <c r="Q79" s="19">
        <f ca="1">P79-IFERROR(SMALL(D79:INDIRECT(ADDRESS(ROW(),4+Settings[Value])), 1),0)-IFERROR(SMALL(D79:INDIRECT(ADDRESS(ROW(),4+Settings[Value])),2),0)</f>
        <v>20</v>
      </c>
      <c r="R79" s="9"/>
    </row>
    <row r="80" spans="1:18" x14ac:dyDescent="0.2">
      <c r="A80" s="15" t="s">
        <v>2044</v>
      </c>
      <c r="B80" s="15" t="s">
        <v>139</v>
      </c>
      <c r="C80" s="18" t="s">
        <v>241</v>
      </c>
      <c r="D80" s="13">
        <v>0</v>
      </c>
      <c r="E80" s="13">
        <v>0</v>
      </c>
      <c r="F80" s="13">
        <v>0</v>
      </c>
      <c r="G80" s="13">
        <v>0</v>
      </c>
      <c r="H80" s="13">
        <v>0</v>
      </c>
      <c r="I80" s="13">
        <v>0</v>
      </c>
      <c r="J80" s="13">
        <v>0</v>
      </c>
      <c r="K80" s="13">
        <v>0</v>
      </c>
      <c r="L80" s="13">
        <v>0</v>
      </c>
      <c r="M80" s="13">
        <v>19</v>
      </c>
      <c r="N80" s="13"/>
      <c r="O80" s="13"/>
      <c r="P80" s="13">
        <f t="shared" si="3"/>
        <v>19</v>
      </c>
      <c r="Q80" s="19">
        <f ca="1">P80-IFERROR(SMALL(D80:INDIRECT(ADDRESS(ROW(),4+Settings[Value])), 1),0)-IFERROR(SMALL(D80:INDIRECT(ADDRESS(ROW(),4+Settings[Value])),2),0)</f>
        <v>19</v>
      </c>
    </row>
    <row r="81" spans="1:18" x14ac:dyDescent="0.2">
      <c r="A81" s="15" t="s">
        <v>1662</v>
      </c>
      <c r="B81" s="15" t="s">
        <v>14</v>
      </c>
      <c r="C81" s="18" t="s">
        <v>100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17</v>
      </c>
      <c r="L81" s="13">
        <v>0</v>
      </c>
      <c r="M81" s="13">
        <v>0</v>
      </c>
      <c r="N81" s="13"/>
      <c r="O81" s="13"/>
      <c r="P81" s="13">
        <f t="shared" si="3"/>
        <v>17</v>
      </c>
      <c r="Q81" s="19">
        <f ca="1">P81-IFERROR(SMALL(D81:INDIRECT(ADDRESS(ROW(),4+Settings[Value])), 1),0)-IFERROR(SMALL(D81:INDIRECT(ADDRESS(ROW(),4+Settings[Value])),2),0)</f>
        <v>17</v>
      </c>
    </row>
    <row r="82" spans="1:18" x14ac:dyDescent="0.2">
      <c r="A82" s="15" t="s">
        <v>1553</v>
      </c>
      <c r="B82" s="15" t="s">
        <v>1554</v>
      </c>
      <c r="C82" s="18"/>
      <c r="D82" s="13"/>
      <c r="E82" s="13"/>
      <c r="F82" s="13"/>
      <c r="G82" s="13"/>
      <c r="H82" s="13"/>
      <c r="I82" s="13"/>
      <c r="J82" s="13">
        <v>15</v>
      </c>
      <c r="K82" s="13">
        <v>0</v>
      </c>
      <c r="L82" s="13">
        <v>0</v>
      </c>
      <c r="M82" s="13">
        <v>0</v>
      </c>
      <c r="N82" s="13"/>
      <c r="O82" s="13"/>
      <c r="P82" s="13">
        <f t="shared" si="3"/>
        <v>15</v>
      </c>
      <c r="Q82" s="19">
        <f ca="1">P82-IFERROR(SMALL(D82:INDIRECT(ADDRESS(ROW(),4+Settings[Value])), 1),0)-IFERROR(SMALL(D82:INDIRECT(ADDRESS(ROW(),4+Settings[Value])),2),0)</f>
        <v>15</v>
      </c>
    </row>
    <row r="83" spans="1:18" x14ac:dyDescent="0.2">
      <c r="A83" s="16"/>
      <c r="B83" s="16"/>
      <c r="C83" s="20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9"/>
    </row>
    <row r="84" spans="1:18" ht="13.5" thickBot="1" x14ac:dyDescent="0.25">
      <c r="A84" s="10" t="s">
        <v>109</v>
      </c>
      <c r="R84" s="9"/>
    </row>
    <row r="85" spans="1:18" ht="13.5" thickTop="1" x14ac:dyDescent="0.2">
      <c r="A85" s="11" t="s">
        <v>1</v>
      </c>
      <c r="B85" s="11" t="s">
        <v>2</v>
      </c>
      <c r="C85" s="11" t="s">
        <v>3</v>
      </c>
      <c r="D85" s="12" t="s">
        <v>461</v>
      </c>
      <c r="E85" s="12" t="s">
        <v>462</v>
      </c>
      <c r="F85" s="12" t="s">
        <v>463</v>
      </c>
      <c r="G85" s="12" t="s">
        <v>464</v>
      </c>
      <c r="H85" s="12" t="s">
        <v>465</v>
      </c>
      <c r="I85" s="12" t="s">
        <v>466</v>
      </c>
      <c r="J85" s="12" t="s">
        <v>467</v>
      </c>
      <c r="K85" s="12" t="s">
        <v>468</v>
      </c>
      <c r="L85" s="12" t="s">
        <v>469</v>
      </c>
      <c r="M85" s="12" t="s">
        <v>470</v>
      </c>
      <c r="N85" s="12" t="s">
        <v>471</v>
      </c>
      <c r="O85" s="12" t="s">
        <v>472</v>
      </c>
      <c r="P85" s="12" t="s">
        <v>460</v>
      </c>
      <c r="Q85" s="12" t="s">
        <v>500</v>
      </c>
      <c r="R85" s="9"/>
    </row>
    <row r="86" spans="1:18" x14ac:dyDescent="0.2">
      <c r="A86" s="15" t="s">
        <v>106</v>
      </c>
      <c r="B86" s="15" t="s">
        <v>107</v>
      </c>
      <c r="C86" s="18" t="s">
        <v>100</v>
      </c>
      <c r="D86" s="13">
        <v>20</v>
      </c>
      <c r="E86" s="13">
        <v>20</v>
      </c>
      <c r="F86" s="13">
        <v>19</v>
      </c>
      <c r="G86" s="13">
        <v>0</v>
      </c>
      <c r="H86" s="13">
        <v>19</v>
      </c>
      <c r="I86" s="13">
        <v>0</v>
      </c>
      <c r="J86" s="13">
        <v>0</v>
      </c>
      <c r="K86" s="13">
        <v>20</v>
      </c>
      <c r="L86" s="13">
        <v>0</v>
      </c>
      <c r="M86" s="13">
        <v>0</v>
      </c>
      <c r="N86" s="13"/>
      <c r="O86" s="13"/>
      <c r="P86" s="13">
        <f t="shared" ref="P86:P91" si="4">SUM(D86:O86)</f>
        <v>98</v>
      </c>
      <c r="Q86" s="9">
        <f ca="1">P86-IFERROR(SMALL(D86:INDIRECT(ADDRESS(ROW(),4+Settings[Value])), 1),0)-IFERROR(SMALL(D86:INDIRECT(ADDRESS(ROW(),4+Settings[Value])),2),0)</f>
        <v>98</v>
      </c>
      <c r="R86" s="9"/>
    </row>
    <row r="87" spans="1:18" x14ac:dyDescent="0.2">
      <c r="A87" s="15" t="s">
        <v>1365</v>
      </c>
      <c r="B87" s="15" t="s">
        <v>421</v>
      </c>
      <c r="C87" s="15" t="s">
        <v>100</v>
      </c>
      <c r="D87" s="13">
        <v>0</v>
      </c>
      <c r="E87" s="13">
        <v>0</v>
      </c>
      <c r="F87" s="13">
        <v>0</v>
      </c>
      <c r="G87" s="13">
        <v>0</v>
      </c>
      <c r="H87" s="13">
        <v>18</v>
      </c>
      <c r="I87" s="13">
        <v>0</v>
      </c>
      <c r="J87" s="13">
        <v>0</v>
      </c>
      <c r="K87" s="13">
        <v>19</v>
      </c>
      <c r="L87" s="13">
        <v>0</v>
      </c>
      <c r="M87" s="13">
        <v>19</v>
      </c>
      <c r="N87" s="13"/>
      <c r="O87" s="13"/>
      <c r="P87" s="19">
        <f t="shared" si="4"/>
        <v>56</v>
      </c>
      <c r="Q87" s="22">
        <f ca="1">P87-IFERROR(SMALL(D87:INDIRECT(ADDRESS(ROW(),4+Settings[Value])), 1),0)-IFERROR(SMALL(D87:INDIRECT(ADDRESS(ROW(),4+Settings[Value])),2),0)</f>
        <v>56</v>
      </c>
      <c r="R87" s="9"/>
    </row>
    <row r="88" spans="1:18" x14ac:dyDescent="0.2">
      <c r="A88" s="15" t="s">
        <v>768</v>
      </c>
      <c r="B88" s="15" t="s">
        <v>769</v>
      </c>
      <c r="C88" s="15" t="s">
        <v>770</v>
      </c>
      <c r="D88" s="13">
        <v>0</v>
      </c>
      <c r="E88" s="13">
        <v>0</v>
      </c>
      <c r="F88" s="13">
        <v>20</v>
      </c>
      <c r="G88" s="13">
        <v>0</v>
      </c>
      <c r="H88" s="13">
        <v>20</v>
      </c>
      <c r="I88" s="13">
        <v>0</v>
      </c>
      <c r="J88" s="13">
        <v>0</v>
      </c>
      <c r="K88" s="13">
        <v>0</v>
      </c>
      <c r="L88" s="13">
        <v>0</v>
      </c>
      <c r="M88" s="13">
        <v>0</v>
      </c>
      <c r="N88" s="13"/>
      <c r="O88" s="13"/>
      <c r="P88" s="19">
        <f t="shared" si="4"/>
        <v>40</v>
      </c>
      <c r="Q88" s="13">
        <f ca="1">P88-IFERROR(SMALL(D88:INDIRECT(ADDRESS(ROW(),4+Settings[Value])), 1),0)-IFERROR(SMALL(D88:INDIRECT(ADDRESS(ROW(),4+Settings[Value])),2),0)</f>
        <v>40</v>
      </c>
      <c r="R88" s="9"/>
    </row>
    <row r="89" spans="1:18" x14ac:dyDescent="0.2">
      <c r="A89" s="15" t="s">
        <v>354</v>
      </c>
      <c r="B89" s="15" t="s">
        <v>221</v>
      </c>
      <c r="C89" s="15" t="s">
        <v>1910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  <c r="L89" s="13">
        <v>20</v>
      </c>
      <c r="M89" s="13">
        <v>0</v>
      </c>
      <c r="N89" s="13"/>
      <c r="O89" s="13"/>
      <c r="P89" s="19">
        <f t="shared" si="4"/>
        <v>20</v>
      </c>
      <c r="Q89" s="19">
        <f ca="1">P89-IFERROR(SMALL(D89:INDIRECT(ADDRESS(ROW(),4+Settings[Value])), 1),0)-IFERROR(SMALL(D89:INDIRECT(ADDRESS(ROW(),4+Settings[Value])),2),0)</f>
        <v>20</v>
      </c>
    </row>
    <row r="90" spans="1:18" x14ac:dyDescent="0.2">
      <c r="A90" s="15" t="s">
        <v>2045</v>
      </c>
      <c r="B90" s="15" t="s">
        <v>1963</v>
      </c>
      <c r="C90" s="15" t="s">
        <v>2046</v>
      </c>
      <c r="D90" s="13">
        <v>0</v>
      </c>
      <c r="E90" s="13">
        <v>0</v>
      </c>
      <c r="F90" s="13">
        <v>0</v>
      </c>
      <c r="G90" s="13">
        <v>0</v>
      </c>
      <c r="H90" s="13">
        <v>0</v>
      </c>
      <c r="I90" s="13">
        <v>0</v>
      </c>
      <c r="J90" s="13">
        <v>0</v>
      </c>
      <c r="K90" s="13">
        <v>0</v>
      </c>
      <c r="L90" s="13">
        <v>0</v>
      </c>
      <c r="M90" s="13">
        <v>20</v>
      </c>
      <c r="N90" s="13"/>
      <c r="O90" s="13"/>
      <c r="P90" s="19">
        <f t="shared" si="4"/>
        <v>20</v>
      </c>
      <c r="Q90" s="19">
        <f ca="1">P90-IFERROR(SMALL(D90:INDIRECT(ADDRESS(ROW(),4+Settings[Value])), 1),0)-IFERROR(SMALL(D90:INDIRECT(ADDRESS(ROW(),4+Settings[Value])),2),0)</f>
        <v>20</v>
      </c>
    </row>
    <row r="91" spans="1:18" x14ac:dyDescent="0.2">
      <c r="A91" s="15" t="s">
        <v>110</v>
      </c>
      <c r="B91" s="15" t="s">
        <v>105</v>
      </c>
      <c r="C91" s="15"/>
      <c r="D91" s="13">
        <v>19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  <c r="L91" s="13">
        <v>0</v>
      </c>
      <c r="M91" s="13">
        <v>0</v>
      </c>
      <c r="N91" s="13"/>
      <c r="O91" s="13"/>
      <c r="P91" s="13">
        <f t="shared" si="4"/>
        <v>19</v>
      </c>
      <c r="Q91" s="13">
        <f ca="1">P91-IFERROR(SMALL(D91:INDIRECT(ADDRESS(ROW(),4+Settings[Value])), 1),0)-IFERROR(SMALL(D91:INDIRECT(ADDRESS(ROW(),4+Settings[Value])),2),0)</f>
        <v>19</v>
      </c>
      <c r="R91" s="9"/>
    </row>
    <row r="92" spans="1:18" x14ac:dyDescent="0.2">
      <c r="A92" s="16"/>
      <c r="B92" s="16"/>
      <c r="C92" s="16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22"/>
      <c r="Q92" s="22"/>
      <c r="R92" s="9"/>
    </row>
    <row r="93" spans="1:18" ht="13.5" thickBot="1" x14ac:dyDescent="0.25">
      <c r="A93" s="10" t="s">
        <v>112</v>
      </c>
      <c r="R93" s="9"/>
    </row>
    <row r="94" spans="1:18" ht="13.5" thickTop="1" x14ac:dyDescent="0.2">
      <c r="A94" s="11" t="s">
        <v>1</v>
      </c>
      <c r="B94" s="11" t="s">
        <v>2</v>
      </c>
      <c r="C94" s="11" t="s">
        <v>3</v>
      </c>
      <c r="D94" s="12" t="s">
        <v>461</v>
      </c>
      <c r="E94" s="12" t="s">
        <v>462</v>
      </c>
      <c r="F94" s="12" t="s">
        <v>463</v>
      </c>
      <c r="G94" s="12" t="s">
        <v>464</v>
      </c>
      <c r="H94" s="12" t="s">
        <v>465</v>
      </c>
      <c r="I94" s="12" t="s">
        <v>466</v>
      </c>
      <c r="J94" s="12" t="s">
        <v>467</v>
      </c>
      <c r="K94" s="12" t="s">
        <v>468</v>
      </c>
      <c r="L94" s="12" t="s">
        <v>469</v>
      </c>
      <c r="M94" s="12" t="s">
        <v>470</v>
      </c>
      <c r="N94" s="12" t="s">
        <v>471</v>
      </c>
      <c r="O94" s="12" t="s">
        <v>472</v>
      </c>
      <c r="P94" s="12" t="s">
        <v>460</v>
      </c>
      <c r="Q94" s="12" t="s">
        <v>500</v>
      </c>
      <c r="R94" s="9"/>
    </row>
    <row r="95" spans="1:18" x14ac:dyDescent="0.2">
      <c r="A95" s="15" t="s">
        <v>115</v>
      </c>
      <c r="B95" s="15" t="s">
        <v>116</v>
      </c>
      <c r="C95" s="18" t="s">
        <v>100</v>
      </c>
      <c r="D95" s="13">
        <v>18</v>
      </c>
      <c r="E95" s="13">
        <v>0</v>
      </c>
      <c r="F95" s="13">
        <v>13</v>
      </c>
      <c r="G95" s="13">
        <v>0</v>
      </c>
      <c r="H95" s="13">
        <v>20</v>
      </c>
      <c r="I95" s="13">
        <v>20</v>
      </c>
      <c r="J95" s="13">
        <v>18</v>
      </c>
      <c r="K95" s="13">
        <v>20</v>
      </c>
      <c r="L95" s="13">
        <v>20</v>
      </c>
      <c r="M95" s="13">
        <v>0</v>
      </c>
      <c r="N95" s="13"/>
      <c r="O95" s="13"/>
      <c r="P95" s="13">
        <f t="shared" ref="P95:P103" si="5">SUM(D95:O95)</f>
        <v>129</v>
      </c>
      <c r="Q95" s="14">
        <f ca="1">P95-IFERROR(SMALL(D95:INDIRECT(ADDRESS(ROW(),4+Settings[Value])), 1),0)-IFERROR(SMALL(D95:INDIRECT(ADDRESS(ROW(),4+Settings[Value])),2),0)</f>
        <v>129</v>
      </c>
      <c r="R95" s="9"/>
    </row>
    <row r="96" spans="1:18" x14ac:dyDescent="0.2">
      <c r="A96" s="15" t="s">
        <v>104</v>
      </c>
      <c r="B96" s="15" t="s">
        <v>111</v>
      </c>
      <c r="C96" s="18" t="s">
        <v>100</v>
      </c>
      <c r="D96" s="13">
        <v>20</v>
      </c>
      <c r="E96" s="13">
        <v>19</v>
      </c>
      <c r="F96" s="13">
        <v>15</v>
      </c>
      <c r="G96" s="13">
        <v>0</v>
      </c>
      <c r="H96" s="13">
        <v>0</v>
      </c>
      <c r="I96" s="13">
        <v>19</v>
      </c>
      <c r="J96" s="13">
        <v>17</v>
      </c>
      <c r="K96" s="13">
        <v>19</v>
      </c>
      <c r="L96" s="13">
        <v>19</v>
      </c>
      <c r="M96" s="13">
        <v>0</v>
      </c>
      <c r="N96" s="13"/>
      <c r="O96" s="13"/>
      <c r="P96" s="13">
        <f t="shared" si="5"/>
        <v>128</v>
      </c>
      <c r="Q96" s="9">
        <f ca="1">P96-IFERROR(SMALL(D96:INDIRECT(ADDRESS(ROW(),4+Settings[Value])), 1),0)-IFERROR(SMALL(D96:INDIRECT(ADDRESS(ROW(),4+Settings[Value])),2),0)</f>
        <v>128</v>
      </c>
      <c r="R96" s="9"/>
    </row>
    <row r="97" spans="1:18" x14ac:dyDescent="0.2">
      <c r="A97" s="15" t="s">
        <v>113</v>
      </c>
      <c r="B97" s="15" t="s">
        <v>114</v>
      </c>
      <c r="C97" s="18"/>
      <c r="D97" s="14">
        <v>19</v>
      </c>
      <c r="E97" s="14">
        <v>18</v>
      </c>
      <c r="F97" s="14">
        <v>14</v>
      </c>
      <c r="G97" s="14">
        <v>0</v>
      </c>
      <c r="H97" s="14">
        <v>0</v>
      </c>
      <c r="I97" s="14">
        <v>0</v>
      </c>
      <c r="J97" s="14">
        <v>16</v>
      </c>
      <c r="K97" s="14">
        <v>18</v>
      </c>
      <c r="L97" s="14">
        <v>18</v>
      </c>
      <c r="M97" s="14">
        <v>0</v>
      </c>
      <c r="N97" s="14"/>
      <c r="O97" s="14"/>
      <c r="P97" s="14">
        <f t="shared" si="5"/>
        <v>103</v>
      </c>
      <c r="Q97" s="14">
        <f ca="1">P97-IFERROR(SMALL(D97:INDIRECT(ADDRESS(ROW(),4+Settings[Value])), 1),0)-IFERROR(SMALL(D97:INDIRECT(ADDRESS(ROW(),4+Settings[Value])),2),0)</f>
        <v>103</v>
      </c>
      <c r="R97" s="9"/>
    </row>
    <row r="98" spans="1:18" x14ac:dyDescent="0.2">
      <c r="A98" s="15" t="s">
        <v>532</v>
      </c>
      <c r="B98" s="15" t="s">
        <v>233</v>
      </c>
      <c r="C98" s="18" t="s">
        <v>568</v>
      </c>
      <c r="D98" s="13">
        <v>0</v>
      </c>
      <c r="E98" s="13">
        <v>20</v>
      </c>
      <c r="F98" s="13">
        <v>19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  <c r="L98" s="13">
        <v>0</v>
      </c>
      <c r="M98" s="13">
        <v>0</v>
      </c>
      <c r="N98" s="13"/>
      <c r="O98" s="13"/>
      <c r="P98" s="19">
        <f t="shared" si="5"/>
        <v>39</v>
      </c>
      <c r="Q98" s="13">
        <f ca="1">P98-IFERROR(SMALL(D98:INDIRECT(ADDRESS(ROW(),4+Settings[Value])), 1),0)-IFERROR(SMALL(D98:INDIRECT(ADDRESS(ROW(),4+Settings[Value])),2),0)</f>
        <v>39</v>
      </c>
      <c r="R98" s="9"/>
    </row>
    <row r="99" spans="1:18" x14ac:dyDescent="0.2">
      <c r="A99" s="15" t="s">
        <v>779</v>
      </c>
      <c r="B99" s="15" t="s">
        <v>780</v>
      </c>
      <c r="C99" s="18" t="s">
        <v>781</v>
      </c>
      <c r="D99" s="13">
        <v>0</v>
      </c>
      <c r="E99" s="13">
        <v>0</v>
      </c>
      <c r="F99" s="13">
        <v>17</v>
      </c>
      <c r="G99" s="13">
        <v>0</v>
      </c>
      <c r="H99" s="13">
        <v>0</v>
      </c>
      <c r="I99" s="13">
        <v>0</v>
      </c>
      <c r="J99" s="13">
        <v>19</v>
      </c>
      <c r="K99" s="13">
        <v>0</v>
      </c>
      <c r="L99" s="13">
        <v>0</v>
      </c>
      <c r="M99" s="13">
        <v>0</v>
      </c>
      <c r="N99" s="13"/>
      <c r="O99" s="13"/>
      <c r="P99" s="19">
        <f t="shared" si="5"/>
        <v>36</v>
      </c>
      <c r="Q99" s="13">
        <f ca="1">P99-IFERROR(SMALL(D99:INDIRECT(ADDRESS(ROW(),4+Settings[Value])), 1),0)-IFERROR(SMALL(D99:INDIRECT(ADDRESS(ROW(),4+Settings[Value])),2),0)</f>
        <v>36</v>
      </c>
    </row>
    <row r="100" spans="1:18" x14ac:dyDescent="0.2">
      <c r="A100" s="15" t="s">
        <v>768</v>
      </c>
      <c r="B100" s="15" t="s">
        <v>116</v>
      </c>
      <c r="C100" s="18" t="s">
        <v>773</v>
      </c>
      <c r="D100" s="13">
        <v>0</v>
      </c>
      <c r="E100" s="13">
        <v>0</v>
      </c>
      <c r="F100" s="13">
        <v>20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  <c r="L100" s="13">
        <v>0</v>
      </c>
      <c r="M100" s="13">
        <v>0</v>
      </c>
      <c r="N100" s="13"/>
      <c r="O100" s="13"/>
      <c r="P100" s="19">
        <f t="shared" si="5"/>
        <v>20</v>
      </c>
      <c r="Q100" s="13">
        <f ca="1">P100-IFERROR(SMALL(D100:INDIRECT(ADDRESS(ROW(),4+Settings[Value])), 1),0)-IFERROR(SMALL(D100:INDIRECT(ADDRESS(ROW(),4+Settings[Value])),2),0)</f>
        <v>20</v>
      </c>
      <c r="R100" s="9"/>
    </row>
    <row r="101" spans="1:18" x14ac:dyDescent="0.2">
      <c r="A101" s="15" t="s">
        <v>1556</v>
      </c>
      <c r="B101" s="15" t="s">
        <v>318</v>
      </c>
      <c r="C101" s="18" t="s">
        <v>1557</v>
      </c>
      <c r="D101" s="13"/>
      <c r="E101" s="13"/>
      <c r="F101" s="13"/>
      <c r="G101" s="13"/>
      <c r="H101" s="13"/>
      <c r="I101" s="13"/>
      <c r="J101" s="13">
        <v>20</v>
      </c>
      <c r="K101" s="13">
        <v>0</v>
      </c>
      <c r="L101" s="13">
        <v>0</v>
      </c>
      <c r="M101" s="13">
        <v>0</v>
      </c>
      <c r="N101" s="13"/>
      <c r="O101" s="13"/>
      <c r="P101" s="19">
        <f t="shared" si="5"/>
        <v>20</v>
      </c>
      <c r="Q101" s="19">
        <f ca="1">P101-IFERROR(SMALL(D101:INDIRECT(ADDRESS(ROW(),4+Settings[Value])), 1),0)-IFERROR(SMALL(D101:INDIRECT(ADDRESS(ROW(),4+Settings[Value])),2),0)</f>
        <v>20</v>
      </c>
      <c r="R101" s="9"/>
    </row>
    <row r="102" spans="1:18" x14ac:dyDescent="0.2">
      <c r="A102" s="15" t="s">
        <v>776</v>
      </c>
      <c r="B102" s="15" t="s">
        <v>260</v>
      </c>
      <c r="C102" s="18" t="s">
        <v>777</v>
      </c>
      <c r="D102" s="13">
        <v>0</v>
      </c>
      <c r="E102" s="13">
        <v>0</v>
      </c>
      <c r="F102" s="13">
        <v>18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  <c r="L102" s="13">
        <v>0</v>
      </c>
      <c r="M102" s="13">
        <v>0</v>
      </c>
      <c r="N102" s="13"/>
      <c r="O102" s="13"/>
      <c r="P102" s="19">
        <f t="shared" si="5"/>
        <v>18</v>
      </c>
      <c r="Q102" s="13">
        <f ca="1">P102-IFERROR(SMALL(D102:INDIRECT(ADDRESS(ROW(),4+Settings[Value])), 1),0)-IFERROR(SMALL(D102:INDIRECT(ADDRESS(ROW(),4+Settings[Value])),2),0)</f>
        <v>18</v>
      </c>
      <c r="R102" s="9"/>
    </row>
    <row r="103" spans="1:18" x14ac:dyDescent="0.2">
      <c r="A103" s="15" t="s">
        <v>783</v>
      </c>
      <c r="B103" s="15" t="s">
        <v>784</v>
      </c>
      <c r="C103" s="18" t="s">
        <v>785</v>
      </c>
      <c r="D103" s="13">
        <v>0</v>
      </c>
      <c r="E103" s="13">
        <v>0</v>
      </c>
      <c r="F103" s="13">
        <v>16</v>
      </c>
      <c r="G103" s="13">
        <v>0</v>
      </c>
      <c r="H103" s="13">
        <v>0</v>
      </c>
      <c r="I103" s="13">
        <v>0</v>
      </c>
      <c r="J103" s="13">
        <v>0</v>
      </c>
      <c r="K103" s="13">
        <v>0</v>
      </c>
      <c r="L103" s="13">
        <v>0</v>
      </c>
      <c r="M103" s="13">
        <v>0</v>
      </c>
      <c r="N103" s="13"/>
      <c r="O103" s="13"/>
      <c r="P103" s="19">
        <f t="shared" si="5"/>
        <v>16</v>
      </c>
      <c r="Q103" s="13">
        <f ca="1">P103-IFERROR(SMALL(D103:INDIRECT(ADDRESS(ROW(),4+Settings[Value])), 1),0)-IFERROR(SMALL(D103:INDIRECT(ADDRESS(ROW(),4+Settings[Value])),2),0)</f>
        <v>16</v>
      </c>
      <c r="R103" s="9"/>
    </row>
    <row r="104" spans="1:18" x14ac:dyDescent="0.2">
      <c r="A104" s="16"/>
      <c r="B104" s="16"/>
      <c r="C104" s="20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22"/>
      <c r="Q104" s="14"/>
      <c r="R104" s="9"/>
    </row>
    <row r="105" spans="1:18" ht="13.5" thickBot="1" x14ac:dyDescent="0.25">
      <c r="A105" s="10" t="s">
        <v>119</v>
      </c>
      <c r="R105" s="9"/>
    </row>
    <row r="106" spans="1:18" ht="13.5" thickTop="1" x14ac:dyDescent="0.2">
      <c r="A106" s="11" t="s">
        <v>1</v>
      </c>
      <c r="B106" s="11" t="s">
        <v>2</v>
      </c>
      <c r="C106" s="11" t="s">
        <v>3</v>
      </c>
      <c r="D106" s="12" t="s">
        <v>461</v>
      </c>
      <c r="E106" s="12" t="s">
        <v>462</v>
      </c>
      <c r="F106" s="12" t="s">
        <v>463</v>
      </c>
      <c r="G106" s="12" t="s">
        <v>464</v>
      </c>
      <c r="H106" s="12" t="s">
        <v>465</v>
      </c>
      <c r="I106" s="12" t="s">
        <v>466</v>
      </c>
      <c r="J106" s="12" t="s">
        <v>467</v>
      </c>
      <c r="K106" s="12" t="s">
        <v>468</v>
      </c>
      <c r="L106" s="12" t="s">
        <v>469</v>
      </c>
      <c r="M106" s="12" t="s">
        <v>470</v>
      </c>
      <c r="N106" s="12" t="s">
        <v>471</v>
      </c>
      <c r="O106" s="12" t="s">
        <v>472</v>
      </c>
      <c r="P106" s="12" t="s">
        <v>460</v>
      </c>
      <c r="Q106" s="12" t="s">
        <v>500</v>
      </c>
    </row>
    <row r="107" spans="1:18" ht="15" x14ac:dyDescent="0.25">
      <c r="A107" s="15" t="s">
        <v>117</v>
      </c>
      <c r="B107" s="15" t="s">
        <v>118</v>
      </c>
      <c r="C107" s="18" t="s">
        <v>140</v>
      </c>
      <c r="D107" s="13">
        <v>20</v>
      </c>
      <c r="E107" s="13">
        <v>20</v>
      </c>
      <c r="F107" s="13">
        <v>20</v>
      </c>
      <c r="G107" s="13">
        <v>0</v>
      </c>
      <c r="H107" s="13">
        <v>0</v>
      </c>
      <c r="I107" s="13">
        <v>0</v>
      </c>
      <c r="J107" s="13">
        <v>0</v>
      </c>
      <c r="K107" s="13">
        <v>20</v>
      </c>
      <c r="L107" s="13">
        <v>0</v>
      </c>
      <c r="M107" s="13">
        <v>0</v>
      </c>
      <c r="N107" s="13"/>
      <c r="O107" s="13"/>
      <c r="P107" s="26">
        <f>SUM(D107:O107)</f>
        <v>80</v>
      </c>
      <c r="Q107" s="9">
        <f ca="1">P107-IFERROR(SMALL(D107:INDIRECT(ADDRESS(ROW(),4+Settings[Value])), 1),0)-IFERROR(SMALL(D107:INDIRECT(ADDRESS(ROW(),4+Settings[Value])),2),0)</f>
        <v>80</v>
      </c>
    </row>
    <row r="108" spans="1:18" x14ac:dyDescent="0.2">
      <c r="A108" s="15" t="s">
        <v>354</v>
      </c>
      <c r="B108" s="15" t="s">
        <v>1906</v>
      </c>
      <c r="C108" s="18" t="s">
        <v>91</v>
      </c>
      <c r="D108" s="13">
        <v>0</v>
      </c>
      <c r="E108" s="13">
        <v>0</v>
      </c>
      <c r="F108" s="13">
        <v>0</v>
      </c>
      <c r="G108" s="13">
        <v>0</v>
      </c>
      <c r="H108" s="13">
        <v>0</v>
      </c>
      <c r="I108" s="13">
        <v>0</v>
      </c>
      <c r="J108" s="13">
        <v>0</v>
      </c>
      <c r="K108" s="13">
        <v>0</v>
      </c>
      <c r="L108" s="13">
        <v>20</v>
      </c>
      <c r="M108" s="13">
        <v>0</v>
      </c>
      <c r="N108" s="13"/>
      <c r="O108" s="13"/>
      <c r="P108" s="19">
        <f>SUM(D108:O108)</f>
        <v>20</v>
      </c>
      <c r="Q108" s="19">
        <f ca="1">P108-IFERROR(SMALL(D108:INDIRECT(ADDRESS(ROW(),4+Settings[Value])), 1),0)-IFERROR(SMALL(D108:INDIRECT(ADDRESS(ROW(),4+Settings[Value])),2),0)</f>
        <v>20</v>
      </c>
      <c r="R108" s="9"/>
    </row>
    <row r="109" spans="1:18" x14ac:dyDescent="0.2">
      <c r="A109" s="15" t="s">
        <v>573</v>
      </c>
      <c r="B109" s="15" t="s">
        <v>574</v>
      </c>
      <c r="C109" s="18"/>
      <c r="D109" s="13">
        <v>0</v>
      </c>
      <c r="E109" s="13">
        <v>19</v>
      </c>
      <c r="F109" s="13">
        <v>0</v>
      </c>
      <c r="G109" s="13">
        <v>0</v>
      </c>
      <c r="H109" s="13">
        <v>0</v>
      </c>
      <c r="I109" s="13">
        <v>0</v>
      </c>
      <c r="J109" s="13">
        <v>0</v>
      </c>
      <c r="K109" s="13">
        <v>0</v>
      </c>
      <c r="L109" s="13">
        <v>0</v>
      </c>
      <c r="M109" s="13">
        <v>0</v>
      </c>
      <c r="N109" s="13"/>
      <c r="O109" s="13"/>
      <c r="P109" s="13">
        <f>SUM(D109:O109)</f>
        <v>19</v>
      </c>
      <c r="Q109" s="13">
        <f ca="1">P109-IFERROR(SMALL(D109:INDIRECT(ADDRESS(ROW(),4+Settings[Value])), 1),0)-IFERROR(SMALL(D109:INDIRECT(ADDRESS(ROW(),4+Settings[Value])),2),0)</f>
        <v>19</v>
      </c>
      <c r="R109" s="9"/>
    </row>
    <row r="110" spans="1:18" x14ac:dyDescent="0.2">
      <c r="A110" s="15" t="s">
        <v>388</v>
      </c>
      <c r="B110" s="15" t="s">
        <v>1671</v>
      </c>
      <c r="C110" s="18"/>
      <c r="D110" s="13">
        <v>0</v>
      </c>
      <c r="E110" s="13">
        <v>0</v>
      </c>
      <c r="F110" s="13">
        <v>0</v>
      </c>
      <c r="G110" s="13">
        <v>0</v>
      </c>
      <c r="H110" s="13">
        <v>0</v>
      </c>
      <c r="I110" s="13">
        <v>0</v>
      </c>
      <c r="J110" s="13">
        <v>0</v>
      </c>
      <c r="K110" s="13">
        <v>19</v>
      </c>
      <c r="L110" s="13">
        <v>0</v>
      </c>
      <c r="M110" s="13">
        <v>0</v>
      </c>
      <c r="N110" s="13"/>
      <c r="O110" s="13"/>
      <c r="P110" s="19">
        <f>SUM(D110:O110)</f>
        <v>19</v>
      </c>
      <c r="Q110" s="19">
        <f ca="1">P110-IFERROR(SMALL(D110:INDIRECT(ADDRESS(ROW(),4+Settings[Value])), 1),0)-IFERROR(SMALL(D110:INDIRECT(ADDRESS(ROW(),4+Settings[Value])),2),0)</f>
        <v>19</v>
      </c>
      <c r="R110" s="9"/>
    </row>
    <row r="111" spans="1:18" x14ac:dyDescent="0.2">
      <c r="R111" s="9"/>
    </row>
    <row r="112" spans="1:18" ht="13.5" thickBot="1" x14ac:dyDescent="0.25">
      <c r="A112" s="10" t="s">
        <v>121</v>
      </c>
      <c r="R112" s="9"/>
    </row>
    <row r="113" spans="1:18" ht="13.5" thickTop="1" x14ac:dyDescent="0.2">
      <c r="A113" s="11" t="s">
        <v>1</v>
      </c>
      <c r="B113" s="11" t="s">
        <v>2</v>
      </c>
      <c r="C113" s="11" t="s">
        <v>3</v>
      </c>
      <c r="D113" s="12" t="s">
        <v>461</v>
      </c>
      <c r="E113" s="12" t="s">
        <v>462</v>
      </c>
      <c r="F113" s="12" t="s">
        <v>463</v>
      </c>
      <c r="G113" s="12" t="s">
        <v>464</v>
      </c>
      <c r="H113" s="12" t="s">
        <v>465</v>
      </c>
      <c r="I113" s="12" t="s">
        <v>466</v>
      </c>
      <c r="J113" s="12" t="s">
        <v>467</v>
      </c>
      <c r="K113" s="12" t="s">
        <v>468</v>
      </c>
      <c r="L113" s="12" t="s">
        <v>469</v>
      </c>
      <c r="M113" s="12" t="s">
        <v>470</v>
      </c>
      <c r="N113" s="12" t="s">
        <v>471</v>
      </c>
      <c r="O113" s="12" t="s">
        <v>472</v>
      </c>
      <c r="P113" s="12" t="s">
        <v>460</v>
      </c>
      <c r="Q113" s="12" t="s">
        <v>500</v>
      </c>
      <c r="R113" s="9"/>
    </row>
    <row r="114" spans="1:18" x14ac:dyDescent="0.2">
      <c r="A114" s="15" t="s">
        <v>89</v>
      </c>
      <c r="B114" s="15" t="s">
        <v>120</v>
      </c>
      <c r="C114" s="18" t="s">
        <v>91</v>
      </c>
      <c r="D114" s="13">
        <v>20</v>
      </c>
      <c r="E114" s="13">
        <v>20</v>
      </c>
      <c r="F114" s="13">
        <v>20</v>
      </c>
      <c r="G114" s="13">
        <v>0</v>
      </c>
      <c r="H114" s="13">
        <v>0</v>
      </c>
      <c r="I114" s="13">
        <v>20</v>
      </c>
      <c r="J114" s="13">
        <v>0</v>
      </c>
      <c r="K114" s="13">
        <v>0</v>
      </c>
      <c r="L114" s="13">
        <v>20</v>
      </c>
      <c r="M114" s="13">
        <v>0</v>
      </c>
      <c r="N114" s="13"/>
      <c r="O114" s="13"/>
      <c r="P114" s="13">
        <f>SUM(D114:O114)</f>
        <v>100</v>
      </c>
      <c r="Q114" s="9">
        <f ca="1">P114-IFERROR(SMALL(D114:INDIRECT(ADDRESS(ROW(),4+Settings[Value])), 1),0)-IFERROR(SMALL(D114:INDIRECT(ADDRESS(ROW(),4+Settings[Value])),2),0)</f>
        <v>100</v>
      </c>
      <c r="R114" s="9"/>
    </row>
    <row r="115" spans="1:18" x14ac:dyDescent="0.2">
      <c r="A115" s="16"/>
      <c r="B115" s="16"/>
      <c r="C115" s="20"/>
      <c r="D115" s="14"/>
      <c r="E115" s="14"/>
      <c r="F115" s="14"/>
      <c r="G115" s="14"/>
      <c r="H115" s="14"/>
      <c r="I115" s="14"/>
      <c r="J115" s="14"/>
      <c r="K115" s="14"/>
      <c r="L115" s="14"/>
      <c r="M115" s="14">
        <v>0</v>
      </c>
      <c r="N115" s="14"/>
      <c r="O115" s="14"/>
      <c r="P115" s="14"/>
      <c r="Q115" s="9"/>
      <c r="R115" s="9"/>
    </row>
    <row r="116" spans="1:18" x14ac:dyDescent="0.2">
      <c r="A116" s="16"/>
      <c r="B116" s="16"/>
      <c r="C116" s="20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9"/>
      <c r="R116" s="9"/>
    </row>
    <row r="117" spans="1:18" x14ac:dyDescent="0.2">
      <c r="A117" s="16"/>
      <c r="B117" s="16"/>
      <c r="C117" s="20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9"/>
      <c r="R117" s="9"/>
    </row>
    <row r="118" spans="1:18" x14ac:dyDescent="0.2">
      <c r="A118" s="16"/>
      <c r="B118" s="16"/>
      <c r="C118" s="20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9"/>
      <c r="R118" s="9"/>
    </row>
    <row r="119" spans="1:18" ht="13.5" thickBot="1" x14ac:dyDescent="0.25">
      <c r="A119" s="10" t="s">
        <v>124</v>
      </c>
      <c r="R119" s="9"/>
    </row>
    <row r="120" spans="1:18" ht="13.5" thickTop="1" x14ac:dyDescent="0.2">
      <c r="A120" s="11" t="s">
        <v>1</v>
      </c>
      <c r="B120" s="11" t="s">
        <v>2</v>
      </c>
      <c r="C120" s="11" t="s">
        <v>3</v>
      </c>
      <c r="D120" s="12" t="s">
        <v>461</v>
      </c>
      <c r="E120" s="12" t="s">
        <v>462</v>
      </c>
      <c r="F120" s="12" t="s">
        <v>463</v>
      </c>
      <c r="G120" s="12" t="s">
        <v>464</v>
      </c>
      <c r="H120" s="12" t="s">
        <v>465</v>
      </c>
      <c r="I120" s="12" t="s">
        <v>466</v>
      </c>
      <c r="J120" s="12" t="s">
        <v>467</v>
      </c>
      <c r="K120" s="12" t="s">
        <v>468</v>
      </c>
      <c r="L120" s="12" t="s">
        <v>469</v>
      </c>
      <c r="M120" s="12" t="s">
        <v>470</v>
      </c>
      <c r="N120" s="12" t="s">
        <v>471</v>
      </c>
      <c r="O120" s="12" t="s">
        <v>472</v>
      </c>
      <c r="P120" s="12" t="s">
        <v>460</v>
      </c>
      <c r="Q120" s="12" t="s">
        <v>500</v>
      </c>
      <c r="R120" s="9"/>
    </row>
    <row r="121" spans="1:18" x14ac:dyDescent="0.2">
      <c r="A121" s="15" t="s">
        <v>122</v>
      </c>
      <c r="B121" s="15" t="s">
        <v>123</v>
      </c>
      <c r="C121" s="18" t="s">
        <v>12</v>
      </c>
      <c r="D121" s="13">
        <v>20</v>
      </c>
      <c r="E121" s="13">
        <v>19</v>
      </c>
      <c r="F121" s="13">
        <v>16</v>
      </c>
      <c r="G121" s="13">
        <v>17</v>
      </c>
      <c r="H121" s="13">
        <v>17</v>
      </c>
      <c r="I121" s="13">
        <v>18</v>
      </c>
      <c r="J121" s="13">
        <v>17</v>
      </c>
      <c r="K121" s="13">
        <v>0</v>
      </c>
      <c r="L121" s="13">
        <v>17</v>
      </c>
      <c r="M121" s="13">
        <v>0</v>
      </c>
      <c r="N121" s="13"/>
      <c r="O121" s="13"/>
      <c r="P121" s="13">
        <f t="shared" ref="P121:P134" si="6">SUM(D121:O121)</f>
        <v>141</v>
      </c>
      <c r="Q121" s="9">
        <f ca="1">P121-IFERROR(SMALL(D121:INDIRECT(ADDRESS(ROW(),4+Settings[Value])), 1),0)-IFERROR(SMALL(D121:INDIRECT(ADDRESS(ROW(),4+Settings[Value])),2),0)</f>
        <v>141</v>
      </c>
      <c r="R121" s="9"/>
    </row>
    <row r="122" spans="1:18" x14ac:dyDescent="0.2">
      <c r="A122" s="15" t="s">
        <v>125</v>
      </c>
      <c r="B122" s="15" t="s">
        <v>126</v>
      </c>
      <c r="C122" s="18" t="s">
        <v>18</v>
      </c>
      <c r="D122" s="13">
        <v>19</v>
      </c>
      <c r="E122" s="13">
        <v>0</v>
      </c>
      <c r="F122" s="13">
        <v>0</v>
      </c>
      <c r="G122" s="13">
        <v>0</v>
      </c>
      <c r="H122" s="13">
        <v>15</v>
      </c>
      <c r="I122" s="13">
        <v>17</v>
      </c>
      <c r="J122" s="13">
        <v>18</v>
      </c>
      <c r="K122" s="13">
        <v>0</v>
      </c>
      <c r="L122" s="13">
        <v>18</v>
      </c>
      <c r="M122" s="13">
        <v>0</v>
      </c>
      <c r="N122" s="13"/>
      <c r="O122" s="13"/>
      <c r="P122" s="13">
        <f t="shared" si="6"/>
        <v>87</v>
      </c>
      <c r="Q122" s="14">
        <f ca="1">P122-IFERROR(SMALL(D122:INDIRECT(ADDRESS(ROW(),4+Settings[Value])), 1),0)-IFERROR(SMALL(D122:INDIRECT(ADDRESS(ROW(),4+Settings[Value])),2),0)</f>
        <v>87</v>
      </c>
      <c r="R122" s="9"/>
    </row>
    <row r="123" spans="1:18" x14ac:dyDescent="0.2">
      <c r="A123" s="15" t="s">
        <v>577</v>
      </c>
      <c r="B123" s="15" t="s">
        <v>123</v>
      </c>
      <c r="C123" s="18" t="s">
        <v>451</v>
      </c>
      <c r="D123" s="13">
        <v>0</v>
      </c>
      <c r="E123" s="13">
        <v>20</v>
      </c>
      <c r="F123" s="13">
        <v>17</v>
      </c>
      <c r="G123" s="13">
        <v>0</v>
      </c>
      <c r="H123" s="13">
        <v>19</v>
      </c>
      <c r="I123" s="13">
        <v>0</v>
      </c>
      <c r="J123" s="13">
        <v>0</v>
      </c>
      <c r="K123" s="13">
        <v>0</v>
      </c>
      <c r="L123" s="13">
        <v>0</v>
      </c>
      <c r="M123" s="13">
        <v>0</v>
      </c>
      <c r="N123" s="13"/>
      <c r="O123" s="13"/>
      <c r="P123" s="19">
        <f t="shared" si="6"/>
        <v>56</v>
      </c>
      <c r="Q123" s="13">
        <f ca="1">P123-IFERROR(SMALL(D123:INDIRECT(ADDRESS(ROW(),4+Settings[Value])), 1),0)-IFERROR(SMALL(D123:INDIRECT(ADDRESS(ROW(),4+Settings[Value])),2),0)</f>
        <v>56</v>
      </c>
      <c r="R123" s="9"/>
    </row>
    <row r="124" spans="1:18" x14ac:dyDescent="0.2">
      <c r="A124" s="15" t="s">
        <v>792</v>
      </c>
      <c r="B124" s="15" t="s">
        <v>793</v>
      </c>
      <c r="C124" s="18" t="s">
        <v>12</v>
      </c>
      <c r="D124" s="13">
        <v>0</v>
      </c>
      <c r="E124" s="13">
        <v>0</v>
      </c>
      <c r="F124" s="13">
        <v>20</v>
      </c>
      <c r="G124" s="13">
        <v>0</v>
      </c>
      <c r="H124" s="13">
        <v>20</v>
      </c>
      <c r="I124" s="13">
        <v>0</v>
      </c>
      <c r="J124" s="13">
        <v>0</v>
      </c>
      <c r="K124" s="13">
        <v>15</v>
      </c>
      <c r="L124" s="13">
        <v>0</v>
      </c>
      <c r="M124" s="13">
        <v>0</v>
      </c>
      <c r="N124" s="13"/>
      <c r="O124" s="13"/>
      <c r="P124" s="19">
        <f t="shared" si="6"/>
        <v>55</v>
      </c>
      <c r="Q124" s="13">
        <f ca="1">P124-IFERROR(SMALL(D124:INDIRECT(ADDRESS(ROW(),4+Settings[Value])), 1),0)-IFERROR(SMALL(D124:INDIRECT(ADDRESS(ROW(),4+Settings[Value])),2),0)</f>
        <v>55</v>
      </c>
      <c r="R124" s="9"/>
    </row>
    <row r="125" spans="1:18" x14ac:dyDescent="0.2">
      <c r="A125" s="15" t="s">
        <v>1563</v>
      </c>
      <c r="B125" s="15" t="s">
        <v>174</v>
      </c>
      <c r="C125" s="18" t="s">
        <v>238</v>
      </c>
      <c r="D125" s="13"/>
      <c r="E125" s="13"/>
      <c r="F125" s="13"/>
      <c r="G125" s="13"/>
      <c r="H125" s="13"/>
      <c r="I125" s="13">
        <v>9</v>
      </c>
      <c r="J125" s="13">
        <v>19</v>
      </c>
      <c r="K125" s="13">
        <v>18</v>
      </c>
      <c r="L125" s="13">
        <v>0</v>
      </c>
      <c r="M125" s="13">
        <v>0</v>
      </c>
      <c r="N125" s="13"/>
      <c r="O125" s="13"/>
      <c r="P125" s="19">
        <f t="shared" si="6"/>
        <v>46</v>
      </c>
      <c r="Q125" s="19">
        <f ca="1">P125-IFERROR(SMALL(D125:INDIRECT(ADDRESS(ROW(),4+Settings[Value])), 1),0)-IFERROR(SMALL(D125:INDIRECT(ADDRESS(ROW(),4+Settings[Value])),2),0)</f>
        <v>46</v>
      </c>
      <c r="R125" s="9"/>
    </row>
    <row r="126" spans="1:18" x14ac:dyDescent="0.2">
      <c r="A126" s="15" t="s">
        <v>1234</v>
      </c>
      <c r="B126" s="15" t="s">
        <v>1235</v>
      </c>
      <c r="C126" s="18" t="s">
        <v>1236</v>
      </c>
      <c r="D126" s="13">
        <v>0</v>
      </c>
      <c r="E126" s="13">
        <v>0</v>
      </c>
      <c r="F126" s="13">
        <v>0</v>
      </c>
      <c r="G126" s="13">
        <v>0</v>
      </c>
      <c r="H126" s="13">
        <v>0</v>
      </c>
      <c r="I126" s="13">
        <v>0</v>
      </c>
      <c r="J126" s="13">
        <v>20</v>
      </c>
      <c r="K126" s="13">
        <v>0</v>
      </c>
      <c r="L126" s="13">
        <v>0</v>
      </c>
      <c r="M126" s="13">
        <v>20</v>
      </c>
      <c r="N126" s="13"/>
      <c r="O126" s="13"/>
      <c r="P126" s="19">
        <f t="shared" si="6"/>
        <v>40</v>
      </c>
      <c r="Q126" s="19">
        <f ca="1">P126-IFERROR(SMALL(D126:INDIRECT(ADDRESS(ROW(),4+Settings[Value])), 1),0)-IFERROR(SMALL(D126:INDIRECT(ADDRESS(ROW(),4+Settings[Value])),2),0)</f>
        <v>40</v>
      </c>
      <c r="R126" s="9"/>
    </row>
    <row r="127" spans="1:18" x14ac:dyDescent="0.2">
      <c r="A127" s="15" t="s">
        <v>1392</v>
      </c>
      <c r="B127" s="15" t="s">
        <v>717</v>
      </c>
      <c r="C127" s="18" t="s">
        <v>456</v>
      </c>
      <c r="D127" s="13">
        <v>0</v>
      </c>
      <c r="E127" s="13">
        <v>0</v>
      </c>
      <c r="F127" s="13">
        <v>0</v>
      </c>
      <c r="G127" s="13">
        <v>0</v>
      </c>
      <c r="H127" s="13">
        <v>0</v>
      </c>
      <c r="I127" s="13">
        <v>20</v>
      </c>
      <c r="J127" s="13">
        <v>0</v>
      </c>
      <c r="K127" s="13">
        <v>0</v>
      </c>
      <c r="L127" s="13">
        <v>0</v>
      </c>
      <c r="M127" s="13">
        <v>0</v>
      </c>
      <c r="N127" s="13"/>
      <c r="O127" s="13"/>
      <c r="P127" s="19">
        <f t="shared" si="6"/>
        <v>20</v>
      </c>
      <c r="Q127" s="19">
        <f ca="1">P127-IFERROR(SMALL(D127:INDIRECT(ADDRESS(ROW(),4+Settings[Value])), 1),0)-IFERROR(SMALL(D127:INDIRECT(ADDRESS(ROW(),4+Settings[Value])),2),0)</f>
        <v>20</v>
      </c>
      <c r="R127" s="9"/>
    </row>
    <row r="128" spans="1:18" x14ac:dyDescent="0.2">
      <c r="A128" s="15" t="s">
        <v>613</v>
      </c>
      <c r="B128" s="15" t="s">
        <v>281</v>
      </c>
      <c r="C128" s="18" t="s">
        <v>452</v>
      </c>
      <c r="D128" s="13">
        <v>0</v>
      </c>
      <c r="E128" s="13">
        <v>0</v>
      </c>
      <c r="F128" s="13">
        <v>0</v>
      </c>
      <c r="G128" s="13">
        <v>0</v>
      </c>
      <c r="H128" s="13">
        <v>0</v>
      </c>
      <c r="I128" s="13">
        <v>0</v>
      </c>
      <c r="J128" s="13">
        <v>0</v>
      </c>
      <c r="K128" s="13">
        <v>20</v>
      </c>
      <c r="L128" s="13">
        <v>0</v>
      </c>
      <c r="M128" s="13">
        <v>0</v>
      </c>
      <c r="N128" s="13"/>
      <c r="O128" s="13"/>
      <c r="P128" s="19">
        <f t="shared" si="6"/>
        <v>20</v>
      </c>
      <c r="Q128" s="19">
        <f ca="1">P128-IFERROR(SMALL(D128:INDIRECT(ADDRESS(ROW(),4+Settings[Value])), 1),0)-IFERROR(SMALL(D128:INDIRECT(ADDRESS(ROW(),4+Settings[Value])),2),0)</f>
        <v>20</v>
      </c>
      <c r="R128" s="9"/>
    </row>
    <row r="129" spans="1:18" x14ac:dyDescent="0.2">
      <c r="A129" s="15" t="s">
        <v>6</v>
      </c>
      <c r="B129" s="15" t="s">
        <v>7</v>
      </c>
      <c r="C129" s="18" t="s">
        <v>8</v>
      </c>
      <c r="D129" s="13">
        <v>0</v>
      </c>
      <c r="E129" s="13">
        <v>0</v>
      </c>
      <c r="F129" s="13">
        <v>0</v>
      </c>
      <c r="G129" s="13">
        <v>0</v>
      </c>
      <c r="H129" s="13">
        <v>0</v>
      </c>
      <c r="I129" s="13">
        <v>0</v>
      </c>
      <c r="J129" s="13">
        <v>0</v>
      </c>
      <c r="K129" s="13">
        <v>19</v>
      </c>
      <c r="L129" s="13">
        <v>0</v>
      </c>
      <c r="M129" s="13">
        <v>0</v>
      </c>
      <c r="N129" s="13"/>
      <c r="O129" s="13"/>
      <c r="P129" s="19">
        <f t="shared" si="6"/>
        <v>19</v>
      </c>
      <c r="Q129" s="19">
        <f ca="1">P129-IFERROR(SMALL(D129:INDIRECT(ADDRESS(ROW(),4+Settings[Value])), 1),0)-IFERROR(SMALL(D129:INDIRECT(ADDRESS(ROW(),4+Settings[Value])),2),0)</f>
        <v>19</v>
      </c>
      <c r="R129" s="9"/>
    </row>
    <row r="130" spans="1:18" x14ac:dyDescent="0.2">
      <c r="A130" s="15" t="s">
        <v>16</v>
      </c>
      <c r="B130" s="15" t="s">
        <v>17</v>
      </c>
      <c r="C130" s="18" t="s">
        <v>18</v>
      </c>
      <c r="D130" s="13">
        <v>0</v>
      </c>
      <c r="E130" s="13">
        <v>0</v>
      </c>
      <c r="F130" s="13">
        <v>0</v>
      </c>
      <c r="G130" s="13">
        <v>0</v>
      </c>
      <c r="H130" s="13">
        <v>0</v>
      </c>
      <c r="I130" s="13">
        <v>0</v>
      </c>
      <c r="J130" s="13">
        <v>0</v>
      </c>
      <c r="K130" s="13">
        <v>0</v>
      </c>
      <c r="L130" s="13">
        <v>0</v>
      </c>
      <c r="M130" s="13">
        <v>18</v>
      </c>
      <c r="N130" s="13"/>
      <c r="O130" s="13"/>
      <c r="P130" s="19">
        <f t="shared" si="6"/>
        <v>18</v>
      </c>
      <c r="Q130" s="19">
        <f ca="1">P130-IFERROR(SMALL(D130:INDIRECT(ADDRESS(ROW(),4+Settings[Value])), 1),0)-IFERROR(SMALL(D130:INDIRECT(ADDRESS(ROW(),4+Settings[Value])),2),0)</f>
        <v>18</v>
      </c>
      <c r="R130" s="9"/>
    </row>
    <row r="131" spans="1:18" x14ac:dyDescent="0.2">
      <c r="A131" s="15" t="s">
        <v>42</v>
      </c>
      <c r="B131" s="15" t="s">
        <v>174</v>
      </c>
      <c r="C131" s="18" t="s">
        <v>44</v>
      </c>
      <c r="D131" s="13">
        <v>0</v>
      </c>
      <c r="E131" s="13">
        <v>0</v>
      </c>
      <c r="F131" s="13">
        <v>0</v>
      </c>
      <c r="G131" s="13">
        <v>0</v>
      </c>
      <c r="H131" s="13">
        <v>0</v>
      </c>
      <c r="I131" s="13">
        <v>16</v>
      </c>
      <c r="J131" s="13">
        <v>0</v>
      </c>
      <c r="K131" s="13">
        <v>0</v>
      </c>
      <c r="L131" s="13">
        <v>0</v>
      </c>
      <c r="M131" s="13">
        <v>0</v>
      </c>
      <c r="N131" s="13"/>
      <c r="O131" s="13"/>
      <c r="P131" s="19">
        <f t="shared" si="6"/>
        <v>16</v>
      </c>
      <c r="Q131" s="19">
        <f ca="1">P131-IFERROR(SMALL(D131:INDIRECT(ADDRESS(ROW(),4+Settings[Value])), 1),0)-IFERROR(SMALL(D131:INDIRECT(ADDRESS(ROW(),4+Settings[Value])),2),0)</f>
        <v>16</v>
      </c>
      <c r="R131" s="9"/>
    </row>
    <row r="132" spans="1:18" x14ac:dyDescent="0.2">
      <c r="A132" s="15" t="s">
        <v>89</v>
      </c>
      <c r="B132" s="15" t="s">
        <v>310</v>
      </c>
      <c r="C132" s="18" t="s">
        <v>91</v>
      </c>
      <c r="D132" s="13">
        <v>0</v>
      </c>
      <c r="E132" s="13">
        <v>0</v>
      </c>
      <c r="F132" s="13">
        <v>0</v>
      </c>
      <c r="G132" s="13">
        <v>0</v>
      </c>
      <c r="H132" s="13">
        <v>0</v>
      </c>
      <c r="I132" s="13">
        <v>0</v>
      </c>
      <c r="J132" s="13">
        <v>0</v>
      </c>
      <c r="K132" s="13">
        <v>0</v>
      </c>
      <c r="L132" s="13">
        <v>0</v>
      </c>
      <c r="M132" s="13">
        <v>16</v>
      </c>
      <c r="N132" s="13"/>
      <c r="O132" s="13"/>
      <c r="P132" s="19">
        <f t="shared" si="6"/>
        <v>16</v>
      </c>
      <c r="Q132" s="19">
        <f ca="1">P132-IFERROR(SMALL(D132:INDIRECT(ADDRESS(ROW(),4+Settings[Value])), 1),0)-IFERROR(SMALL(D132:INDIRECT(ADDRESS(ROW(),4+Settings[Value])),2),0)</f>
        <v>16</v>
      </c>
      <c r="R132" s="9"/>
    </row>
    <row r="133" spans="1:18" x14ac:dyDescent="0.2">
      <c r="A133" s="15" t="s">
        <v>594</v>
      </c>
      <c r="B133" s="15" t="s">
        <v>595</v>
      </c>
      <c r="C133" s="18" t="s">
        <v>18</v>
      </c>
      <c r="D133" s="13">
        <v>0</v>
      </c>
      <c r="E133" s="13">
        <v>0</v>
      </c>
      <c r="F133" s="13">
        <v>0</v>
      </c>
      <c r="G133" s="13">
        <v>0</v>
      </c>
      <c r="H133" s="13">
        <v>0</v>
      </c>
      <c r="I133" s="13">
        <v>0</v>
      </c>
      <c r="J133" s="13">
        <v>15</v>
      </c>
      <c r="K133" s="13">
        <v>0</v>
      </c>
      <c r="L133" s="13">
        <v>0</v>
      </c>
      <c r="M133" s="13">
        <v>0</v>
      </c>
      <c r="N133" s="13"/>
      <c r="O133" s="13"/>
      <c r="P133" s="19">
        <f t="shared" si="6"/>
        <v>15</v>
      </c>
      <c r="Q133" s="19">
        <f ca="1">P133-IFERROR(SMALL(D133:INDIRECT(ADDRESS(ROW(),4+Settings[Value])), 1),0)-IFERROR(SMALL(D133:INDIRECT(ADDRESS(ROW(),4+Settings[Value])),2),0)</f>
        <v>15</v>
      </c>
      <c r="R133" s="9"/>
    </row>
    <row r="134" spans="1:18" x14ac:dyDescent="0.2">
      <c r="A134" s="15" t="s">
        <v>1263</v>
      </c>
      <c r="B134" s="15" t="s">
        <v>23</v>
      </c>
      <c r="C134" s="18" t="s">
        <v>506</v>
      </c>
      <c r="D134" s="13">
        <v>0</v>
      </c>
      <c r="E134" s="13">
        <v>0</v>
      </c>
      <c r="F134" s="13">
        <v>0</v>
      </c>
      <c r="G134" s="13">
        <v>0</v>
      </c>
      <c r="H134" s="13">
        <v>14</v>
      </c>
      <c r="I134" s="13">
        <v>0</v>
      </c>
      <c r="J134" s="13">
        <v>0</v>
      </c>
      <c r="K134" s="13">
        <v>0</v>
      </c>
      <c r="L134" s="13">
        <v>0</v>
      </c>
      <c r="M134" s="13">
        <v>0</v>
      </c>
      <c r="N134" s="13"/>
      <c r="O134" s="13"/>
      <c r="P134" s="19">
        <f t="shared" si="6"/>
        <v>14</v>
      </c>
      <c r="Q134" s="19">
        <f ca="1">P134-IFERROR(SMALL(D134:INDIRECT(ADDRESS(ROW(),4+Settings[Value])), 1),0)-IFERROR(SMALL(D134:INDIRECT(ADDRESS(ROW(),4+Settings[Value])),2),0)</f>
        <v>14</v>
      </c>
      <c r="R134" s="9"/>
    </row>
    <row r="135" spans="1:18" x14ac:dyDescent="0.2">
      <c r="A135" s="16"/>
      <c r="B135" s="16"/>
      <c r="C135" s="20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22"/>
      <c r="Q135" s="22"/>
      <c r="R135" s="9"/>
    </row>
    <row r="136" spans="1:18" ht="13.5" thickBot="1" x14ac:dyDescent="0.25">
      <c r="A136" s="10" t="s">
        <v>135</v>
      </c>
      <c r="R136" s="9"/>
    </row>
    <row r="137" spans="1:18" ht="13.5" thickTop="1" x14ac:dyDescent="0.2">
      <c r="A137" s="11" t="s">
        <v>1</v>
      </c>
      <c r="B137" s="11" t="s">
        <v>2</v>
      </c>
      <c r="C137" s="11" t="s">
        <v>3</v>
      </c>
      <c r="D137" s="12" t="s">
        <v>461</v>
      </c>
      <c r="E137" s="12" t="s">
        <v>462</v>
      </c>
      <c r="F137" s="12" t="s">
        <v>463</v>
      </c>
      <c r="G137" s="12" t="s">
        <v>464</v>
      </c>
      <c r="H137" s="12" t="s">
        <v>465</v>
      </c>
      <c r="I137" s="12" t="s">
        <v>466</v>
      </c>
      <c r="J137" s="12" t="s">
        <v>467</v>
      </c>
      <c r="K137" s="12" t="s">
        <v>468</v>
      </c>
      <c r="L137" s="12" t="s">
        <v>469</v>
      </c>
      <c r="M137" s="12" t="s">
        <v>470</v>
      </c>
      <c r="N137" s="12" t="s">
        <v>471</v>
      </c>
      <c r="O137" s="12" t="s">
        <v>472</v>
      </c>
      <c r="P137" s="12" t="s">
        <v>460</v>
      </c>
      <c r="Q137" s="12" t="s">
        <v>500</v>
      </c>
    </row>
    <row r="138" spans="1:18" x14ac:dyDescent="0.2">
      <c r="A138" s="15" t="s">
        <v>134</v>
      </c>
      <c r="B138" s="15" t="s">
        <v>7</v>
      </c>
      <c r="C138" s="18" t="s">
        <v>34</v>
      </c>
      <c r="D138" s="13">
        <v>20</v>
      </c>
      <c r="E138" s="13">
        <v>20</v>
      </c>
      <c r="F138" s="13">
        <v>19</v>
      </c>
      <c r="G138" s="13">
        <v>19</v>
      </c>
      <c r="H138" s="13">
        <v>0</v>
      </c>
      <c r="I138" s="13">
        <v>20</v>
      </c>
      <c r="J138" s="13">
        <v>19</v>
      </c>
      <c r="K138" s="13">
        <v>18</v>
      </c>
      <c r="L138" s="13">
        <v>20</v>
      </c>
      <c r="M138" s="13">
        <v>19</v>
      </c>
      <c r="N138" s="13"/>
      <c r="O138" s="13"/>
      <c r="P138" s="13">
        <f t="shared" ref="P138:P151" si="7">SUM(D138:O138)</f>
        <v>174</v>
      </c>
      <c r="Q138" s="14">
        <f ca="1">P138-IFERROR(SMALL(D138:INDIRECT(ADDRESS(ROW(),4+Settings[Value])), 1),0)-IFERROR(SMALL(D138:INDIRECT(ADDRESS(ROW(),4+Settings[Value])),2),0)</f>
        <v>156</v>
      </c>
      <c r="R138" s="9"/>
    </row>
    <row r="139" spans="1:18" x14ac:dyDescent="0.2">
      <c r="A139" s="15" t="s">
        <v>807</v>
      </c>
      <c r="B139" s="15" t="s">
        <v>595</v>
      </c>
      <c r="C139" s="18" t="s">
        <v>413</v>
      </c>
      <c r="D139" s="13">
        <v>0</v>
      </c>
      <c r="E139" s="13">
        <v>0</v>
      </c>
      <c r="F139" s="13">
        <v>18</v>
      </c>
      <c r="G139" s="13">
        <v>15</v>
      </c>
      <c r="H139" s="13">
        <v>19</v>
      </c>
      <c r="I139" s="13">
        <v>18</v>
      </c>
      <c r="J139" s="13">
        <v>17</v>
      </c>
      <c r="K139" s="13">
        <v>16</v>
      </c>
      <c r="L139" s="13">
        <v>19</v>
      </c>
      <c r="M139" s="13">
        <v>0</v>
      </c>
      <c r="N139" s="13"/>
      <c r="O139" s="13"/>
      <c r="P139" s="19">
        <f t="shared" si="7"/>
        <v>122</v>
      </c>
      <c r="Q139" s="14">
        <f ca="1">P139-IFERROR(SMALL(D139:INDIRECT(ADDRESS(ROW(),4+Settings[Value])), 1),0)-IFERROR(SMALL(D139:INDIRECT(ADDRESS(ROW(),4+Settings[Value])),2),0)</f>
        <v>122</v>
      </c>
      <c r="R139" s="9"/>
    </row>
    <row r="140" spans="1:18" x14ac:dyDescent="0.2">
      <c r="A140" s="15" t="s">
        <v>136</v>
      </c>
      <c r="B140" s="15" t="s">
        <v>137</v>
      </c>
      <c r="C140" s="18" t="s">
        <v>138</v>
      </c>
      <c r="D140" s="14">
        <v>19</v>
      </c>
      <c r="E140" s="14">
        <v>0</v>
      </c>
      <c r="F140" s="14">
        <v>20</v>
      </c>
      <c r="G140" s="14">
        <v>0</v>
      </c>
      <c r="H140" s="14">
        <v>0</v>
      </c>
      <c r="I140" s="14">
        <v>19</v>
      </c>
      <c r="J140" s="14">
        <v>20</v>
      </c>
      <c r="K140" s="14">
        <v>19</v>
      </c>
      <c r="L140" s="14">
        <v>0</v>
      </c>
      <c r="M140" s="14">
        <v>20</v>
      </c>
      <c r="N140" s="14"/>
      <c r="O140" s="14"/>
      <c r="P140" s="22">
        <f t="shared" si="7"/>
        <v>117</v>
      </c>
      <c r="Q140" s="14">
        <f ca="1">P140-IFERROR(SMALL(D140:INDIRECT(ADDRESS(ROW(),4+Settings[Value])), 1),0)-IFERROR(SMALL(D140:INDIRECT(ADDRESS(ROW(),4+Settings[Value])),2),0)</f>
        <v>117</v>
      </c>
      <c r="R140" s="9"/>
    </row>
    <row r="141" spans="1:18" x14ac:dyDescent="0.2">
      <c r="A141" s="15" t="s">
        <v>117</v>
      </c>
      <c r="B141" s="15" t="s">
        <v>139</v>
      </c>
      <c r="C141" s="18" t="s">
        <v>140</v>
      </c>
      <c r="D141" s="14">
        <v>18</v>
      </c>
      <c r="E141" s="14">
        <v>18</v>
      </c>
      <c r="F141" s="14">
        <v>16</v>
      </c>
      <c r="G141" s="14">
        <v>12</v>
      </c>
      <c r="H141" s="14">
        <v>17</v>
      </c>
      <c r="I141" s="14">
        <v>0</v>
      </c>
      <c r="J141" s="14">
        <v>0</v>
      </c>
      <c r="K141" s="14">
        <v>14</v>
      </c>
      <c r="L141" s="14">
        <v>0</v>
      </c>
      <c r="M141" s="14">
        <v>17</v>
      </c>
      <c r="N141" s="14"/>
      <c r="O141" s="14"/>
      <c r="P141" s="14">
        <f t="shared" si="7"/>
        <v>112</v>
      </c>
      <c r="Q141" s="9">
        <f ca="1">P141-IFERROR(SMALL(D141:INDIRECT(ADDRESS(ROW(),4+Settings[Value])), 1),0)-IFERROR(SMALL(D141:INDIRECT(ADDRESS(ROW(),4+Settings[Value])),2),0)</f>
        <v>112</v>
      </c>
      <c r="R141" s="9"/>
    </row>
    <row r="142" spans="1:18" x14ac:dyDescent="0.2">
      <c r="A142" s="15" t="s">
        <v>169</v>
      </c>
      <c r="B142" s="15" t="s">
        <v>170</v>
      </c>
      <c r="C142" s="18" t="s">
        <v>171</v>
      </c>
      <c r="D142" s="13">
        <v>16</v>
      </c>
      <c r="E142" s="13">
        <v>0</v>
      </c>
      <c r="F142" s="13">
        <v>14</v>
      </c>
      <c r="G142" s="13">
        <v>0</v>
      </c>
      <c r="H142" s="13">
        <v>16</v>
      </c>
      <c r="I142" s="13">
        <v>15</v>
      </c>
      <c r="J142" s="13">
        <v>13</v>
      </c>
      <c r="K142" s="13">
        <v>0</v>
      </c>
      <c r="L142" s="13">
        <v>16</v>
      </c>
      <c r="M142" s="13">
        <v>0</v>
      </c>
      <c r="N142" s="13"/>
      <c r="O142" s="13"/>
      <c r="P142" s="19">
        <f t="shared" si="7"/>
        <v>90</v>
      </c>
      <c r="Q142" s="13">
        <f ca="1">P142-IFERROR(SMALL(D142:INDIRECT(ADDRESS(ROW(),4+Settings[Value])), 1),0)-IFERROR(SMALL(D142:INDIRECT(ADDRESS(ROW(),4+Settings[Value])),2),0)</f>
        <v>90</v>
      </c>
      <c r="R142" s="9"/>
    </row>
    <row r="143" spans="1:18" x14ac:dyDescent="0.2">
      <c r="A143" s="15" t="s">
        <v>1268</v>
      </c>
      <c r="B143" s="15" t="s">
        <v>1269</v>
      </c>
      <c r="C143" s="18" t="s">
        <v>448</v>
      </c>
      <c r="D143" s="13">
        <v>0</v>
      </c>
      <c r="E143" s="13">
        <v>0</v>
      </c>
      <c r="F143" s="13">
        <v>0</v>
      </c>
      <c r="G143" s="13">
        <v>0</v>
      </c>
      <c r="H143" s="13">
        <v>18</v>
      </c>
      <c r="I143" s="13">
        <v>0</v>
      </c>
      <c r="J143" s="13">
        <v>18</v>
      </c>
      <c r="K143" s="13">
        <v>17</v>
      </c>
      <c r="L143" s="13">
        <v>0</v>
      </c>
      <c r="M143" s="13">
        <v>0</v>
      </c>
      <c r="N143" s="13"/>
      <c r="O143" s="13"/>
      <c r="P143" s="19">
        <f t="shared" si="7"/>
        <v>53</v>
      </c>
      <c r="Q143" s="19">
        <f ca="1">P143-IFERROR(SMALL(D143:INDIRECT(ADDRESS(ROW(),4+Settings[Value])), 1),0)-IFERROR(SMALL(D143:INDIRECT(ADDRESS(ROW(),4+Settings[Value])),2),0)</f>
        <v>53</v>
      </c>
      <c r="R143" s="9"/>
    </row>
    <row r="144" spans="1:18" x14ac:dyDescent="0.2">
      <c r="A144" s="15" t="s">
        <v>594</v>
      </c>
      <c r="B144" s="15" t="s">
        <v>595</v>
      </c>
      <c r="C144" s="18" t="s">
        <v>18</v>
      </c>
      <c r="D144" s="13">
        <v>0</v>
      </c>
      <c r="E144" s="13">
        <v>0</v>
      </c>
      <c r="F144" s="13">
        <v>17</v>
      </c>
      <c r="G144" s="13">
        <v>0</v>
      </c>
      <c r="H144" s="13">
        <v>0</v>
      </c>
      <c r="I144" s="13">
        <v>17</v>
      </c>
      <c r="J144" s="13">
        <v>0</v>
      </c>
      <c r="K144" s="13">
        <v>0</v>
      </c>
      <c r="L144" s="13">
        <v>17</v>
      </c>
      <c r="M144" s="13">
        <v>0</v>
      </c>
      <c r="N144" s="13"/>
      <c r="O144" s="13"/>
      <c r="P144" s="19">
        <f t="shared" si="7"/>
        <v>51</v>
      </c>
      <c r="Q144" s="13">
        <f ca="1">P144-IFERROR(SMALL(D144:INDIRECT(ADDRESS(ROW(),4+Settings[Value])), 1),0)-IFERROR(SMALL(D144:INDIRECT(ADDRESS(ROW(),4+Settings[Value])),2),0)</f>
        <v>51</v>
      </c>
      <c r="R144" s="9"/>
    </row>
    <row r="145" spans="1:18" x14ac:dyDescent="0.2">
      <c r="A145" s="15" t="s">
        <v>811</v>
      </c>
      <c r="B145" s="15" t="s">
        <v>128</v>
      </c>
      <c r="C145" s="18" t="s">
        <v>504</v>
      </c>
      <c r="D145" s="13">
        <v>0</v>
      </c>
      <c r="E145" s="13">
        <v>0</v>
      </c>
      <c r="F145" s="13">
        <v>15</v>
      </c>
      <c r="G145" s="13">
        <v>11</v>
      </c>
      <c r="H145" s="13">
        <v>0</v>
      </c>
      <c r="I145" s="13">
        <v>0</v>
      </c>
      <c r="J145" s="13">
        <v>14</v>
      </c>
      <c r="K145" s="13">
        <v>0</v>
      </c>
      <c r="L145" s="13">
        <v>0</v>
      </c>
      <c r="M145" s="13">
        <v>0</v>
      </c>
      <c r="N145" s="13"/>
      <c r="O145" s="13"/>
      <c r="P145" s="19">
        <f t="shared" si="7"/>
        <v>40</v>
      </c>
      <c r="Q145" s="13">
        <f ca="1">P145-IFERROR(SMALL(D145:INDIRECT(ADDRESS(ROW(),4+Settings[Value])), 1),0)-IFERROR(SMALL(D145:INDIRECT(ADDRESS(ROW(),4+Settings[Value])),2),0)</f>
        <v>40</v>
      </c>
      <c r="R145" s="9"/>
    </row>
    <row r="146" spans="1:18" x14ac:dyDescent="0.2">
      <c r="A146" s="15" t="s">
        <v>165</v>
      </c>
      <c r="B146" s="15" t="s">
        <v>166</v>
      </c>
      <c r="C146" s="18" t="s">
        <v>167</v>
      </c>
      <c r="D146" s="13">
        <v>17</v>
      </c>
      <c r="E146" s="13">
        <v>17</v>
      </c>
      <c r="F146" s="13">
        <v>0</v>
      </c>
      <c r="G146" s="13">
        <v>0</v>
      </c>
      <c r="H146" s="13">
        <v>0</v>
      </c>
      <c r="I146" s="13">
        <v>0</v>
      </c>
      <c r="J146" s="13">
        <v>0</v>
      </c>
      <c r="K146" s="13">
        <v>0</v>
      </c>
      <c r="L146" s="13">
        <v>0</v>
      </c>
      <c r="M146" s="13">
        <v>0</v>
      </c>
      <c r="N146" s="13"/>
      <c r="O146" s="13"/>
      <c r="P146" s="13">
        <f t="shared" si="7"/>
        <v>34</v>
      </c>
      <c r="Q146" s="13">
        <f ca="1">P146-IFERROR(SMALL(D146:INDIRECT(ADDRESS(ROW(),4+Settings[Value])), 1),0)-IFERROR(SMALL(D146:INDIRECT(ADDRESS(ROW(),4+Settings[Value])),2),0)</f>
        <v>34</v>
      </c>
      <c r="R146" s="9"/>
    </row>
    <row r="147" spans="1:18" x14ac:dyDescent="0.2">
      <c r="A147" s="15" t="s">
        <v>1399</v>
      </c>
      <c r="B147" s="15" t="s">
        <v>244</v>
      </c>
      <c r="C147" s="18" t="s">
        <v>12</v>
      </c>
      <c r="D147" s="13">
        <v>0</v>
      </c>
      <c r="E147" s="13">
        <v>0</v>
      </c>
      <c r="F147" s="13">
        <v>0</v>
      </c>
      <c r="G147" s="13">
        <v>0</v>
      </c>
      <c r="H147" s="13">
        <v>0</v>
      </c>
      <c r="I147" s="13">
        <v>16</v>
      </c>
      <c r="J147" s="13">
        <v>0</v>
      </c>
      <c r="K147" s="13">
        <v>0</v>
      </c>
      <c r="L147" s="13">
        <v>18</v>
      </c>
      <c r="M147" s="13">
        <v>0</v>
      </c>
      <c r="N147" s="13"/>
      <c r="O147" s="13"/>
      <c r="P147" s="19">
        <f t="shared" si="7"/>
        <v>34</v>
      </c>
      <c r="Q147" s="19">
        <f ca="1">P147-IFERROR(SMALL(D147:INDIRECT(ADDRESS(ROW(),4+Settings[Value])), 1),0)-IFERROR(SMALL(D147:INDIRECT(ADDRESS(ROW(),4+Settings[Value])),2),0)</f>
        <v>34</v>
      </c>
      <c r="R147" s="9"/>
    </row>
    <row r="148" spans="1:18" x14ac:dyDescent="0.2">
      <c r="A148" s="15" t="s">
        <v>1265</v>
      </c>
      <c r="B148" s="15" t="s">
        <v>194</v>
      </c>
      <c r="C148" s="18" t="s">
        <v>1236</v>
      </c>
      <c r="D148" s="13">
        <v>0</v>
      </c>
      <c r="E148" s="13">
        <v>0</v>
      </c>
      <c r="F148" s="13">
        <v>0</v>
      </c>
      <c r="G148" s="13">
        <v>0</v>
      </c>
      <c r="H148" s="13">
        <v>20</v>
      </c>
      <c r="I148" s="13">
        <v>0</v>
      </c>
      <c r="J148" s="13">
        <v>0</v>
      </c>
      <c r="K148" s="13">
        <v>0</v>
      </c>
      <c r="L148" s="13">
        <v>0</v>
      </c>
      <c r="M148" s="13">
        <v>0</v>
      </c>
      <c r="N148" s="13"/>
      <c r="O148" s="13"/>
      <c r="P148" s="19">
        <f t="shared" si="7"/>
        <v>20</v>
      </c>
      <c r="Q148" s="19">
        <f ca="1">P148-IFERROR(SMALL(D148:INDIRECT(ADDRESS(ROW(),4+Settings[Value])), 1),0)-IFERROR(SMALL(D148:INDIRECT(ADDRESS(ROW(),4+Settings[Value])),2),0)</f>
        <v>20</v>
      </c>
    </row>
    <row r="149" spans="1:18" x14ac:dyDescent="0.2">
      <c r="A149" s="15" t="s">
        <v>411</v>
      </c>
      <c r="B149" s="15" t="s">
        <v>412</v>
      </c>
      <c r="C149" s="18" t="s">
        <v>413</v>
      </c>
      <c r="D149" s="13">
        <v>0</v>
      </c>
      <c r="E149" s="13">
        <v>0</v>
      </c>
      <c r="F149" s="13">
        <v>0</v>
      </c>
      <c r="G149" s="13">
        <v>0</v>
      </c>
      <c r="H149" s="13">
        <v>0</v>
      </c>
      <c r="I149" s="13">
        <v>0</v>
      </c>
      <c r="J149" s="13">
        <v>0</v>
      </c>
      <c r="K149" s="13">
        <v>20</v>
      </c>
      <c r="L149" s="13">
        <v>0</v>
      </c>
      <c r="M149" s="13">
        <v>0</v>
      </c>
      <c r="N149" s="13"/>
      <c r="O149" s="13"/>
      <c r="P149" s="19">
        <f t="shared" si="7"/>
        <v>20</v>
      </c>
      <c r="Q149" s="19">
        <f ca="1">P149-IFERROR(SMALL(D149:INDIRECT(ADDRESS(ROW(),4+Settings[Value])), 1),0)-IFERROR(SMALL(D149:INDIRECT(ADDRESS(ROW(),4+Settings[Value])),2),0)</f>
        <v>20</v>
      </c>
    </row>
    <row r="150" spans="1:18" x14ac:dyDescent="0.2">
      <c r="A150" s="15" t="s">
        <v>1045</v>
      </c>
      <c r="B150" s="15" t="s">
        <v>30</v>
      </c>
      <c r="C150" s="18" t="s">
        <v>18</v>
      </c>
      <c r="D150" s="13">
        <v>0</v>
      </c>
      <c r="E150" s="13">
        <v>0</v>
      </c>
      <c r="F150" s="13">
        <v>0</v>
      </c>
      <c r="G150" s="13">
        <v>17</v>
      </c>
      <c r="H150" s="13">
        <v>0</v>
      </c>
      <c r="I150" s="13">
        <v>0</v>
      </c>
      <c r="J150" s="13">
        <v>0</v>
      </c>
      <c r="K150" s="13">
        <v>0</v>
      </c>
      <c r="L150" s="13">
        <v>0</v>
      </c>
      <c r="M150" s="13">
        <v>0</v>
      </c>
      <c r="N150" s="13"/>
      <c r="O150" s="13"/>
      <c r="P150" s="19">
        <f t="shared" si="7"/>
        <v>17</v>
      </c>
      <c r="Q150" s="19">
        <f ca="1">P150-IFERROR(SMALL(D150:INDIRECT(ADDRESS(ROW(),4+Settings[Value])), 1),0)-IFERROR(SMALL(D150:INDIRECT(ADDRESS(ROW(),4+Settings[Value])),2),0)</f>
        <v>17</v>
      </c>
    </row>
    <row r="151" spans="1:18" x14ac:dyDescent="0.2">
      <c r="A151" s="15" t="s">
        <v>1504</v>
      </c>
      <c r="B151" s="15" t="s">
        <v>23</v>
      </c>
      <c r="C151" s="18" t="s">
        <v>44</v>
      </c>
      <c r="D151" s="13">
        <v>0</v>
      </c>
      <c r="E151" s="13">
        <v>0</v>
      </c>
      <c r="F151" s="13">
        <v>0</v>
      </c>
      <c r="G151" s="13">
        <v>0</v>
      </c>
      <c r="H151" s="13">
        <v>0</v>
      </c>
      <c r="I151" s="13">
        <v>0</v>
      </c>
      <c r="J151" s="13">
        <v>0</v>
      </c>
      <c r="K151" s="13">
        <v>13</v>
      </c>
      <c r="L151" s="13">
        <v>0</v>
      </c>
      <c r="M151" s="13">
        <v>0</v>
      </c>
      <c r="N151" s="13"/>
      <c r="O151" s="13"/>
      <c r="P151" s="19">
        <f t="shared" si="7"/>
        <v>13</v>
      </c>
      <c r="Q151" s="19">
        <f ca="1">P151-IFERROR(SMALL(D151:INDIRECT(ADDRESS(ROW(),4+Settings[Value])), 1),0)-IFERROR(SMALL(D151:INDIRECT(ADDRESS(ROW(),4+Settings[Value])),2),0)</f>
        <v>13</v>
      </c>
      <c r="R151" s="9"/>
    </row>
    <row r="152" spans="1:18" ht="15" x14ac:dyDescent="0.25">
      <c r="A152" s="6"/>
      <c r="B152" s="6"/>
      <c r="C152" s="21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22"/>
      <c r="Q152" s="14"/>
      <c r="R152" s="9"/>
    </row>
    <row r="153" spans="1:18" ht="13.5" thickBot="1" x14ac:dyDescent="0.25">
      <c r="A153" s="10" t="s">
        <v>178</v>
      </c>
      <c r="R153" s="9"/>
    </row>
    <row r="154" spans="1:18" ht="13.5" thickTop="1" x14ac:dyDescent="0.2">
      <c r="A154" s="11" t="s">
        <v>1</v>
      </c>
      <c r="B154" s="11" t="s">
        <v>2</v>
      </c>
      <c r="C154" s="11" t="s">
        <v>3</v>
      </c>
      <c r="D154" s="12" t="s">
        <v>461</v>
      </c>
      <c r="E154" s="12" t="s">
        <v>462</v>
      </c>
      <c r="F154" s="12" t="s">
        <v>463</v>
      </c>
      <c r="G154" s="12" t="s">
        <v>464</v>
      </c>
      <c r="H154" s="12" t="s">
        <v>465</v>
      </c>
      <c r="I154" s="12" t="s">
        <v>466</v>
      </c>
      <c r="J154" s="12" t="s">
        <v>467</v>
      </c>
      <c r="K154" s="12" t="s">
        <v>468</v>
      </c>
      <c r="L154" s="12" t="s">
        <v>469</v>
      </c>
      <c r="M154" s="12" t="s">
        <v>470</v>
      </c>
      <c r="N154" s="12" t="s">
        <v>471</v>
      </c>
      <c r="O154" s="12" t="s">
        <v>472</v>
      </c>
      <c r="P154" s="12" t="s">
        <v>460</v>
      </c>
      <c r="Q154" s="12" t="s">
        <v>500</v>
      </c>
      <c r="R154" s="9"/>
    </row>
    <row r="155" spans="1:18" x14ac:dyDescent="0.2">
      <c r="A155" s="15" t="s">
        <v>66</v>
      </c>
      <c r="B155" s="15" t="s">
        <v>176</v>
      </c>
      <c r="C155" s="18" t="s">
        <v>442</v>
      </c>
      <c r="D155" s="13">
        <v>20</v>
      </c>
      <c r="E155" s="13">
        <v>18</v>
      </c>
      <c r="F155" s="13">
        <v>20</v>
      </c>
      <c r="G155" s="13">
        <v>13</v>
      </c>
      <c r="H155" s="13">
        <v>19</v>
      </c>
      <c r="I155" s="13">
        <v>19</v>
      </c>
      <c r="J155" s="13">
        <v>20</v>
      </c>
      <c r="K155" s="13">
        <v>19</v>
      </c>
      <c r="L155" s="13">
        <v>20</v>
      </c>
      <c r="M155" s="13">
        <v>19</v>
      </c>
      <c r="N155" s="13"/>
      <c r="O155" s="13"/>
      <c r="P155" s="13">
        <f t="shared" ref="P155:P173" si="8">SUM(D155:O155)</f>
        <v>187</v>
      </c>
      <c r="Q155" s="14">
        <f ca="1">P155-IFERROR(SMALL(D155:INDIRECT(ADDRESS(ROW(),4+Settings[Value])), 1),0)-IFERROR(SMALL(D155:INDIRECT(ADDRESS(ROW(),4+Settings[Value])),2),0)</f>
        <v>156</v>
      </c>
      <c r="R155" s="9"/>
    </row>
    <row r="156" spans="1:18" x14ac:dyDescent="0.2">
      <c r="A156" s="15" t="s">
        <v>179</v>
      </c>
      <c r="B156" s="15" t="s">
        <v>24</v>
      </c>
      <c r="C156" s="18" t="s">
        <v>100</v>
      </c>
      <c r="D156" s="13">
        <v>19</v>
      </c>
      <c r="E156" s="13">
        <v>19</v>
      </c>
      <c r="F156" s="13">
        <v>19</v>
      </c>
      <c r="G156" s="13">
        <v>16</v>
      </c>
      <c r="H156" s="13">
        <v>20</v>
      </c>
      <c r="I156" s="13">
        <v>18</v>
      </c>
      <c r="J156" s="13">
        <v>18</v>
      </c>
      <c r="K156" s="13">
        <v>17</v>
      </c>
      <c r="L156" s="13">
        <v>17</v>
      </c>
      <c r="M156" s="13">
        <v>20</v>
      </c>
      <c r="N156" s="13"/>
      <c r="O156" s="13"/>
      <c r="P156" s="13">
        <f t="shared" si="8"/>
        <v>183</v>
      </c>
      <c r="Q156" s="9">
        <f ca="1">P156-IFERROR(SMALL(D156:INDIRECT(ADDRESS(ROW(),4+Settings[Value])), 1),0)-IFERROR(SMALL(D156:INDIRECT(ADDRESS(ROW(),4+Settings[Value])),2),0)</f>
        <v>150</v>
      </c>
      <c r="R156" s="9"/>
    </row>
    <row r="157" spans="1:18" x14ac:dyDescent="0.2">
      <c r="A157" s="15" t="s">
        <v>186</v>
      </c>
      <c r="B157" s="15" t="s">
        <v>187</v>
      </c>
      <c r="C157" s="18" t="s">
        <v>8</v>
      </c>
      <c r="D157" s="14">
        <v>16</v>
      </c>
      <c r="E157" s="14">
        <v>20</v>
      </c>
      <c r="F157" s="14">
        <v>18</v>
      </c>
      <c r="G157" s="14">
        <v>15</v>
      </c>
      <c r="H157" s="14">
        <v>17</v>
      </c>
      <c r="I157" s="14">
        <v>20</v>
      </c>
      <c r="J157" s="14">
        <v>19</v>
      </c>
      <c r="K157" s="14">
        <v>16</v>
      </c>
      <c r="L157" s="14">
        <v>18</v>
      </c>
      <c r="M157" s="14">
        <v>17</v>
      </c>
      <c r="N157" s="14"/>
      <c r="O157" s="14"/>
      <c r="P157" s="14">
        <f t="shared" si="8"/>
        <v>176</v>
      </c>
      <c r="Q157" s="14">
        <f ca="1">P157-IFERROR(SMALL(D157:INDIRECT(ADDRESS(ROW(),4+Settings[Value])), 1),0)-IFERROR(SMALL(D157:INDIRECT(ADDRESS(ROW(),4+Settings[Value])),2),0)</f>
        <v>145</v>
      </c>
      <c r="R157" s="9"/>
    </row>
    <row r="158" spans="1:18" x14ac:dyDescent="0.2">
      <c r="A158" s="15" t="s">
        <v>183</v>
      </c>
      <c r="B158" s="15" t="s">
        <v>184</v>
      </c>
      <c r="C158" s="18" t="s">
        <v>100</v>
      </c>
      <c r="D158" s="14">
        <v>17</v>
      </c>
      <c r="E158" s="14">
        <v>16</v>
      </c>
      <c r="F158" s="14">
        <v>16</v>
      </c>
      <c r="G158" s="14">
        <v>18</v>
      </c>
      <c r="H158" s="14">
        <v>18</v>
      </c>
      <c r="I158" s="14">
        <v>0</v>
      </c>
      <c r="J158" s="14">
        <v>15</v>
      </c>
      <c r="K158" s="14">
        <v>18</v>
      </c>
      <c r="L158" s="14">
        <v>19</v>
      </c>
      <c r="M158" s="14">
        <v>18</v>
      </c>
      <c r="N158" s="14"/>
      <c r="O158" s="14"/>
      <c r="P158" s="14">
        <f t="shared" si="8"/>
        <v>155</v>
      </c>
      <c r="Q158" s="14">
        <f ca="1">P158-IFERROR(SMALL(D158:INDIRECT(ADDRESS(ROW(),4+Settings[Value])), 1),0)-IFERROR(SMALL(D158:INDIRECT(ADDRESS(ROW(),4+Settings[Value])),2),0)</f>
        <v>140</v>
      </c>
      <c r="R158" s="9"/>
    </row>
    <row r="159" spans="1:18" x14ac:dyDescent="0.2">
      <c r="A159" s="15" t="s">
        <v>181</v>
      </c>
      <c r="B159" s="15" t="s">
        <v>132</v>
      </c>
      <c r="C159" s="18" t="s">
        <v>34</v>
      </c>
      <c r="D159" s="14">
        <v>18</v>
      </c>
      <c r="E159" s="14">
        <v>17</v>
      </c>
      <c r="F159" s="14">
        <v>15</v>
      </c>
      <c r="G159" s="14">
        <v>9</v>
      </c>
      <c r="H159" s="14">
        <v>15</v>
      </c>
      <c r="I159" s="14">
        <v>17</v>
      </c>
      <c r="J159" s="14">
        <v>16</v>
      </c>
      <c r="K159" s="14">
        <v>0</v>
      </c>
      <c r="L159" s="14">
        <v>0</v>
      </c>
      <c r="M159" s="14">
        <v>13</v>
      </c>
      <c r="N159" s="14"/>
      <c r="O159" s="14"/>
      <c r="P159" s="14">
        <f t="shared" si="8"/>
        <v>120</v>
      </c>
      <c r="Q159" s="14">
        <f ca="1">P159-IFERROR(SMALL(D159:INDIRECT(ADDRESS(ROW(),4+Settings[Value])), 1),0)-IFERROR(SMALL(D159:INDIRECT(ADDRESS(ROW(),4+Settings[Value])),2),0)</f>
        <v>120</v>
      </c>
      <c r="R159" s="9"/>
    </row>
    <row r="160" spans="1:18" x14ac:dyDescent="0.2">
      <c r="A160" s="15" t="s">
        <v>193</v>
      </c>
      <c r="B160" s="15" t="s">
        <v>194</v>
      </c>
      <c r="C160" s="18" t="s">
        <v>442</v>
      </c>
      <c r="D160" s="13">
        <v>14</v>
      </c>
      <c r="E160" s="13">
        <v>14</v>
      </c>
      <c r="F160" s="13">
        <v>14</v>
      </c>
      <c r="G160" s="13">
        <v>14</v>
      </c>
      <c r="H160" s="13">
        <v>0</v>
      </c>
      <c r="I160" s="13">
        <v>15</v>
      </c>
      <c r="J160" s="13">
        <v>14</v>
      </c>
      <c r="K160" s="13">
        <v>0</v>
      </c>
      <c r="L160" s="13">
        <v>15</v>
      </c>
      <c r="M160" s="13">
        <v>14</v>
      </c>
      <c r="N160" s="13"/>
      <c r="O160" s="13"/>
      <c r="P160" s="13">
        <f t="shared" si="8"/>
        <v>114</v>
      </c>
      <c r="Q160" s="13">
        <f ca="1">P160-IFERROR(SMALL(D160:INDIRECT(ADDRESS(ROW(),4+Settings[Value])), 1),0)-IFERROR(SMALL(D160:INDIRECT(ADDRESS(ROW(),4+Settings[Value])),2),0)</f>
        <v>114</v>
      </c>
      <c r="R160" s="9"/>
    </row>
    <row r="161" spans="1:18" x14ac:dyDescent="0.2">
      <c r="A161" s="15" t="s">
        <v>816</v>
      </c>
      <c r="B161" s="15" t="s">
        <v>817</v>
      </c>
      <c r="C161" s="15" t="s">
        <v>18</v>
      </c>
      <c r="D161" s="13">
        <v>0</v>
      </c>
      <c r="E161" s="13">
        <v>0</v>
      </c>
      <c r="F161" s="13">
        <v>17</v>
      </c>
      <c r="G161" s="13">
        <v>0</v>
      </c>
      <c r="H161" s="13">
        <v>16</v>
      </c>
      <c r="I161" s="13">
        <v>16</v>
      </c>
      <c r="J161" s="13">
        <v>17</v>
      </c>
      <c r="K161" s="13">
        <v>15</v>
      </c>
      <c r="L161" s="13">
        <v>16</v>
      </c>
      <c r="M161" s="13">
        <v>16</v>
      </c>
      <c r="N161" s="13"/>
      <c r="O161" s="13"/>
      <c r="P161" s="19">
        <f t="shared" si="8"/>
        <v>113</v>
      </c>
      <c r="Q161" s="22">
        <f ca="1">P161-IFERROR(SMALL(D161:INDIRECT(ADDRESS(ROW(),4+Settings[Value])), 1),0)-IFERROR(SMALL(D161:INDIRECT(ADDRESS(ROW(),4+Settings[Value])),2),0)</f>
        <v>113</v>
      </c>
      <c r="R161" s="9"/>
    </row>
    <row r="162" spans="1:18" x14ac:dyDescent="0.2">
      <c r="A162" s="15" t="s">
        <v>196</v>
      </c>
      <c r="B162" s="15" t="s">
        <v>128</v>
      </c>
      <c r="C162" s="18" t="s">
        <v>38</v>
      </c>
      <c r="D162" s="14">
        <v>13</v>
      </c>
      <c r="E162" s="14">
        <v>13</v>
      </c>
      <c r="F162" s="14">
        <v>13</v>
      </c>
      <c r="G162" s="14">
        <v>12</v>
      </c>
      <c r="H162" s="14">
        <v>10</v>
      </c>
      <c r="I162" s="14">
        <v>11</v>
      </c>
      <c r="J162" s="14">
        <v>13</v>
      </c>
      <c r="K162" s="14">
        <v>14</v>
      </c>
      <c r="L162" s="14">
        <v>14</v>
      </c>
      <c r="M162" s="14">
        <v>12</v>
      </c>
      <c r="N162" s="14"/>
      <c r="O162" s="14"/>
      <c r="P162" s="14">
        <f t="shared" si="8"/>
        <v>125</v>
      </c>
      <c r="Q162" s="14">
        <f ca="1">P162-IFERROR(SMALL(D162:INDIRECT(ADDRESS(ROW(),4+Settings[Value])), 1),0)-IFERROR(SMALL(D162:INDIRECT(ADDRESS(ROW(),4+Settings[Value])),2),0)</f>
        <v>104</v>
      </c>
      <c r="R162" s="9"/>
    </row>
    <row r="163" spans="1:18" x14ac:dyDescent="0.2">
      <c r="A163" s="15" t="s">
        <v>550</v>
      </c>
      <c r="B163" s="15" t="s">
        <v>601</v>
      </c>
      <c r="C163" s="15" t="s">
        <v>691</v>
      </c>
      <c r="D163" s="13">
        <v>0</v>
      </c>
      <c r="E163" s="13">
        <v>11</v>
      </c>
      <c r="F163" s="13">
        <v>11</v>
      </c>
      <c r="G163" s="13">
        <v>10</v>
      </c>
      <c r="H163" s="13">
        <v>13</v>
      </c>
      <c r="I163" s="13">
        <v>13</v>
      </c>
      <c r="J163" s="13">
        <v>12</v>
      </c>
      <c r="K163" s="13">
        <v>11</v>
      </c>
      <c r="L163" s="13">
        <v>13</v>
      </c>
      <c r="M163" s="13">
        <v>0</v>
      </c>
      <c r="N163" s="13"/>
      <c r="O163" s="13"/>
      <c r="P163" s="19">
        <f t="shared" si="8"/>
        <v>94</v>
      </c>
      <c r="Q163" s="14">
        <f ca="1">P163-IFERROR(SMALL(D163:INDIRECT(ADDRESS(ROW(),4+Settings[Value])), 1),0)-IFERROR(SMALL(D163:INDIRECT(ADDRESS(ROW(),4+Settings[Value])),2),0)</f>
        <v>94</v>
      </c>
      <c r="R163" s="9"/>
    </row>
    <row r="164" spans="1:18" x14ac:dyDescent="0.2">
      <c r="A164" s="15" t="s">
        <v>598</v>
      </c>
      <c r="B164" s="15" t="s">
        <v>599</v>
      </c>
      <c r="C164" s="16" t="s">
        <v>345</v>
      </c>
      <c r="D164" s="13">
        <v>0</v>
      </c>
      <c r="E164" s="13">
        <v>12</v>
      </c>
      <c r="F164" s="13">
        <v>12</v>
      </c>
      <c r="G164" s="13">
        <v>0</v>
      </c>
      <c r="H164" s="13">
        <v>11</v>
      </c>
      <c r="I164" s="13">
        <v>12</v>
      </c>
      <c r="J164" s="13">
        <v>0</v>
      </c>
      <c r="K164" s="13">
        <v>13</v>
      </c>
      <c r="L164" s="13">
        <v>11</v>
      </c>
      <c r="M164" s="13">
        <v>0</v>
      </c>
      <c r="N164" s="13"/>
      <c r="O164" s="13"/>
      <c r="P164" s="19">
        <f t="shared" si="8"/>
        <v>71</v>
      </c>
      <c r="Q164" s="13">
        <f ca="1">P164-IFERROR(SMALL(D164:INDIRECT(ADDRESS(ROW(),4+Settings[Value])), 1),0)-IFERROR(SMALL(D164:INDIRECT(ADDRESS(ROW(),4+Settings[Value])),2),0)</f>
        <v>71</v>
      </c>
      <c r="R164" s="9"/>
    </row>
    <row r="165" spans="1:18" x14ac:dyDescent="0.2">
      <c r="A165" s="15" t="s">
        <v>89</v>
      </c>
      <c r="B165" s="15" t="s">
        <v>310</v>
      </c>
      <c r="C165" s="20" t="s">
        <v>91</v>
      </c>
      <c r="D165" s="13">
        <v>8</v>
      </c>
      <c r="E165" s="13">
        <v>9</v>
      </c>
      <c r="F165" s="13">
        <v>8</v>
      </c>
      <c r="G165" s="13">
        <v>0</v>
      </c>
      <c r="H165" s="13">
        <v>8</v>
      </c>
      <c r="I165" s="13">
        <v>8</v>
      </c>
      <c r="J165" s="13">
        <v>0</v>
      </c>
      <c r="K165" s="13">
        <v>0</v>
      </c>
      <c r="L165" s="13">
        <v>7</v>
      </c>
      <c r="M165" s="13">
        <v>0</v>
      </c>
      <c r="N165" s="13"/>
      <c r="O165" s="13"/>
      <c r="P165" s="13">
        <f t="shared" si="8"/>
        <v>48</v>
      </c>
      <c r="Q165" s="13">
        <f ca="1">P165-IFERROR(SMALL(D165:INDIRECT(ADDRESS(ROW(),4+Settings[Value])), 1),0)-IFERROR(SMALL(D165:INDIRECT(ADDRESS(ROW(),4+Settings[Value])),2),0)</f>
        <v>48</v>
      </c>
      <c r="R165" s="9"/>
    </row>
    <row r="166" spans="1:18" x14ac:dyDescent="0.2">
      <c r="A166" s="15" t="s">
        <v>189</v>
      </c>
      <c r="B166" s="15" t="s">
        <v>190</v>
      </c>
      <c r="C166" s="20" t="s">
        <v>191</v>
      </c>
      <c r="D166" s="13">
        <v>15</v>
      </c>
      <c r="E166" s="13">
        <v>0</v>
      </c>
      <c r="F166" s="13">
        <v>0</v>
      </c>
      <c r="G166" s="13">
        <v>0</v>
      </c>
      <c r="H166" s="13">
        <v>0</v>
      </c>
      <c r="I166" s="13">
        <v>0</v>
      </c>
      <c r="J166" s="13">
        <v>0</v>
      </c>
      <c r="K166" s="13">
        <v>0</v>
      </c>
      <c r="L166" s="13">
        <v>0</v>
      </c>
      <c r="M166" s="13">
        <v>15</v>
      </c>
      <c r="N166" s="13"/>
      <c r="O166" s="13"/>
      <c r="P166" s="19">
        <f t="shared" si="8"/>
        <v>30</v>
      </c>
      <c r="Q166" s="13">
        <f ca="1">P166-IFERROR(SMALL(D166:INDIRECT(ADDRESS(ROW(),4+Settings[Value])), 1),0)-IFERROR(SMALL(D166:INDIRECT(ADDRESS(ROW(),4+Settings[Value])),2),0)</f>
        <v>30</v>
      </c>
      <c r="R166" s="9"/>
    </row>
    <row r="167" spans="1:18" x14ac:dyDescent="0.2">
      <c r="A167" s="15" t="s">
        <v>594</v>
      </c>
      <c r="B167" s="15" t="s">
        <v>595</v>
      </c>
      <c r="C167" s="8" t="s">
        <v>18</v>
      </c>
      <c r="D167" s="13">
        <v>0</v>
      </c>
      <c r="E167" s="13">
        <v>15</v>
      </c>
      <c r="F167" s="13">
        <v>0</v>
      </c>
      <c r="G167" s="13">
        <v>0</v>
      </c>
      <c r="H167" s="13">
        <v>0</v>
      </c>
      <c r="I167" s="13">
        <v>14</v>
      </c>
      <c r="J167" s="13">
        <v>0</v>
      </c>
      <c r="K167" s="13">
        <v>0</v>
      </c>
      <c r="L167" s="13">
        <v>0</v>
      </c>
      <c r="M167" s="13">
        <v>0</v>
      </c>
      <c r="N167" s="13"/>
      <c r="O167" s="13"/>
      <c r="P167" s="19">
        <f t="shared" si="8"/>
        <v>29</v>
      </c>
      <c r="Q167" s="13">
        <f ca="1">P167-IFERROR(SMALL(D167:INDIRECT(ADDRESS(ROW(),4+Settings[Value])), 1),0)-IFERROR(SMALL(D167:INDIRECT(ADDRESS(ROW(),4+Settings[Value])),2),0)</f>
        <v>29</v>
      </c>
      <c r="R167" s="9"/>
    </row>
    <row r="168" spans="1:18" x14ac:dyDescent="0.2">
      <c r="A168" s="15" t="s">
        <v>826</v>
      </c>
      <c r="B168" s="15" t="s">
        <v>257</v>
      </c>
      <c r="C168" s="8" t="s">
        <v>389</v>
      </c>
      <c r="D168" s="13">
        <v>0</v>
      </c>
      <c r="E168" s="13">
        <v>0</v>
      </c>
      <c r="F168" s="13">
        <v>9</v>
      </c>
      <c r="G168" s="13">
        <v>0</v>
      </c>
      <c r="H168" s="13">
        <v>9</v>
      </c>
      <c r="I168" s="13">
        <v>0</v>
      </c>
      <c r="J168" s="13">
        <v>0</v>
      </c>
      <c r="K168" s="13">
        <v>0</v>
      </c>
      <c r="L168" s="13">
        <v>0</v>
      </c>
      <c r="M168" s="13">
        <v>0</v>
      </c>
      <c r="N168" s="13"/>
      <c r="O168" s="13"/>
      <c r="P168" s="19">
        <f t="shared" si="8"/>
        <v>18</v>
      </c>
      <c r="Q168" s="13">
        <f ca="1">P168-IFERROR(SMALL(D168:INDIRECT(ADDRESS(ROW(),4+Settings[Value])), 1),0)-IFERROR(SMALL(D168:INDIRECT(ADDRESS(ROW(),4+Settings[Value])),2),0)</f>
        <v>18</v>
      </c>
      <c r="R168" s="9"/>
    </row>
    <row r="169" spans="1:18" x14ac:dyDescent="0.2">
      <c r="A169" s="15" t="s">
        <v>1063</v>
      </c>
      <c r="B169" s="15" t="s">
        <v>27</v>
      </c>
      <c r="C169" s="8" t="s">
        <v>18</v>
      </c>
      <c r="D169" s="13">
        <v>0</v>
      </c>
      <c r="E169" s="13">
        <v>0</v>
      </c>
      <c r="F169" s="13">
        <v>0</v>
      </c>
      <c r="G169" s="13">
        <v>17</v>
      </c>
      <c r="H169" s="13">
        <v>0</v>
      </c>
      <c r="I169" s="13">
        <v>0</v>
      </c>
      <c r="J169" s="13">
        <v>0</v>
      </c>
      <c r="K169" s="13">
        <v>0</v>
      </c>
      <c r="L169" s="13">
        <v>0</v>
      </c>
      <c r="M169" s="13">
        <v>0</v>
      </c>
      <c r="N169" s="13"/>
      <c r="O169" s="13"/>
      <c r="P169" s="19">
        <f t="shared" si="8"/>
        <v>17</v>
      </c>
      <c r="Q169" s="19">
        <f ca="1">P169-IFERROR(SMALL(D169:INDIRECT(ADDRESS(ROW(),4+Settings[Value])), 1),0)-IFERROR(SMALL(D169:INDIRECT(ADDRESS(ROW(),4+Settings[Value])),2),0)</f>
        <v>17</v>
      </c>
      <c r="R169" s="9"/>
    </row>
    <row r="170" spans="1:18" x14ac:dyDescent="0.2">
      <c r="A170" s="15" t="s">
        <v>603</v>
      </c>
      <c r="B170" s="15" t="s">
        <v>176</v>
      </c>
      <c r="C170" s="8" t="s">
        <v>12</v>
      </c>
      <c r="D170" s="13">
        <v>0</v>
      </c>
      <c r="E170" s="13">
        <v>10</v>
      </c>
      <c r="F170" s="13">
        <v>0</v>
      </c>
      <c r="G170" s="13">
        <v>0</v>
      </c>
      <c r="H170" s="13">
        <v>0</v>
      </c>
      <c r="I170" s="13">
        <v>0</v>
      </c>
      <c r="J170" s="13">
        <v>0</v>
      </c>
      <c r="K170" s="13">
        <v>0</v>
      </c>
      <c r="L170" s="13">
        <v>0</v>
      </c>
      <c r="M170" s="13">
        <v>0</v>
      </c>
      <c r="N170" s="13"/>
      <c r="O170" s="13"/>
      <c r="P170" s="19">
        <f t="shared" si="8"/>
        <v>10</v>
      </c>
      <c r="Q170" s="13">
        <f ca="1">P170-IFERROR(SMALL(D170:INDIRECT(ADDRESS(ROW(),4+Settings[Value])), 1),0)-IFERROR(SMALL(D170:INDIRECT(ADDRESS(ROW(),4+Settings[Value])),2),0)</f>
        <v>10</v>
      </c>
      <c r="R170" s="9"/>
    </row>
    <row r="171" spans="1:18" x14ac:dyDescent="0.2">
      <c r="A171" s="15" t="s">
        <v>1589</v>
      </c>
      <c r="B171" s="15" t="s">
        <v>225</v>
      </c>
      <c r="C171" s="8" t="s">
        <v>418</v>
      </c>
      <c r="D171" s="13"/>
      <c r="E171" s="13"/>
      <c r="F171" s="13"/>
      <c r="G171" s="13"/>
      <c r="H171" s="13"/>
      <c r="I171" s="13"/>
      <c r="J171" s="13">
        <v>10</v>
      </c>
      <c r="K171" s="13">
        <v>0</v>
      </c>
      <c r="L171" s="13">
        <v>0</v>
      </c>
      <c r="M171" s="13">
        <v>0</v>
      </c>
      <c r="N171" s="13"/>
      <c r="O171" s="13"/>
      <c r="P171" s="19">
        <f t="shared" si="8"/>
        <v>10</v>
      </c>
      <c r="Q171" s="19">
        <f ca="1">P171-IFERROR(SMALL(D171:INDIRECT(ADDRESS(ROW(),4+Settings[Value])), 1),0)-IFERROR(SMALL(D171:INDIRECT(ADDRESS(ROW(),4+Settings[Value])),2),0)</f>
        <v>10</v>
      </c>
      <c r="R171" s="9"/>
    </row>
    <row r="172" spans="1:18" x14ac:dyDescent="0.2">
      <c r="A172" s="15" t="s">
        <v>1705</v>
      </c>
      <c r="B172" s="15" t="s">
        <v>1706</v>
      </c>
      <c r="C172" s="8" t="s">
        <v>504</v>
      </c>
      <c r="D172" s="13">
        <v>0</v>
      </c>
      <c r="E172" s="13">
        <v>0</v>
      </c>
      <c r="F172" s="13">
        <v>0</v>
      </c>
      <c r="G172" s="13">
        <v>0</v>
      </c>
      <c r="H172" s="13">
        <v>0</v>
      </c>
      <c r="I172" s="13">
        <v>0</v>
      </c>
      <c r="J172" s="13">
        <v>0</v>
      </c>
      <c r="K172" s="13">
        <v>10</v>
      </c>
      <c r="L172" s="13">
        <v>0</v>
      </c>
      <c r="M172" s="13">
        <v>0</v>
      </c>
      <c r="N172" s="13"/>
      <c r="O172" s="13"/>
      <c r="P172" s="19">
        <f t="shared" si="8"/>
        <v>10</v>
      </c>
      <c r="Q172" s="19">
        <f ca="1">P172-IFERROR(SMALL(D172:INDIRECT(ADDRESS(ROW(),4+Settings[Value])), 1),0)-IFERROR(SMALL(D172:INDIRECT(ADDRESS(ROW(),4+Settings[Value])),2),0)</f>
        <v>10</v>
      </c>
      <c r="R172" s="9"/>
    </row>
    <row r="173" spans="1:18" x14ac:dyDescent="0.2">
      <c r="A173" s="15" t="s">
        <v>1708</v>
      </c>
      <c r="B173" s="15" t="s">
        <v>194</v>
      </c>
      <c r="C173" s="8" t="s">
        <v>44</v>
      </c>
      <c r="D173" s="13">
        <v>0</v>
      </c>
      <c r="E173" s="13">
        <v>0</v>
      </c>
      <c r="F173" s="13">
        <v>0</v>
      </c>
      <c r="G173" s="13">
        <v>0</v>
      </c>
      <c r="H173" s="13">
        <v>0</v>
      </c>
      <c r="I173" s="13">
        <v>0</v>
      </c>
      <c r="J173" s="13">
        <v>0</v>
      </c>
      <c r="K173" s="13">
        <v>9</v>
      </c>
      <c r="L173" s="13">
        <v>0</v>
      </c>
      <c r="M173" s="13">
        <v>0</v>
      </c>
      <c r="N173" s="13"/>
      <c r="O173" s="13"/>
      <c r="P173" s="19">
        <f t="shared" si="8"/>
        <v>9</v>
      </c>
      <c r="Q173" s="19">
        <f ca="1">P173-IFERROR(SMALL(D173:INDIRECT(ADDRESS(ROW(),4+Settings[Value])), 1),0)-IFERROR(SMALL(D173:INDIRECT(ADDRESS(ROW(),4+Settings[Value])),2),0)</f>
        <v>9</v>
      </c>
      <c r="R173" s="9"/>
    </row>
    <row r="174" spans="1:18" x14ac:dyDescent="0.2">
      <c r="A174" s="16"/>
      <c r="B174" s="16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22"/>
      <c r="Q174" s="14"/>
      <c r="R174" s="9"/>
    </row>
    <row r="175" spans="1:18" x14ac:dyDescent="0.2">
      <c r="A175" s="16"/>
      <c r="B175" s="16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22"/>
      <c r="Q175" s="14"/>
      <c r="R175" s="9"/>
    </row>
    <row r="176" spans="1:18" x14ac:dyDescent="0.2">
      <c r="A176" s="16"/>
      <c r="B176" s="16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22"/>
      <c r="Q176" s="14"/>
      <c r="R176" s="9"/>
    </row>
    <row r="177" spans="1:18" x14ac:dyDescent="0.2">
      <c r="A177" s="16"/>
      <c r="B177" s="16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22"/>
      <c r="Q177" s="14"/>
      <c r="R177" s="9"/>
    </row>
    <row r="178" spans="1:18" x14ac:dyDescent="0.2">
      <c r="A178" s="16"/>
      <c r="B178" s="16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22"/>
      <c r="Q178" s="14"/>
    </row>
    <row r="179" spans="1:18" x14ac:dyDescent="0.2">
      <c r="A179" s="16"/>
      <c r="B179" s="16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22"/>
      <c r="Q179" s="14"/>
    </row>
    <row r="180" spans="1:18" ht="13.5" thickBot="1" x14ac:dyDescent="0.25">
      <c r="A180" s="10" t="s">
        <v>217</v>
      </c>
    </row>
    <row r="181" spans="1:18" ht="13.5" thickTop="1" x14ac:dyDescent="0.2">
      <c r="A181" s="11" t="s">
        <v>1</v>
      </c>
      <c r="B181" s="11" t="s">
        <v>2</v>
      </c>
      <c r="C181" s="11" t="s">
        <v>3</v>
      </c>
      <c r="D181" s="12" t="s">
        <v>461</v>
      </c>
      <c r="E181" s="12" t="s">
        <v>462</v>
      </c>
      <c r="F181" s="12" t="s">
        <v>463</v>
      </c>
      <c r="G181" s="12" t="s">
        <v>464</v>
      </c>
      <c r="H181" s="12" t="s">
        <v>465</v>
      </c>
      <c r="I181" s="12" t="s">
        <v>466</v>
      </c>
      <c r="J181" s="12" t="s">
        <v>467</v>
      </c>
      <c r="K181" s="12" t="s">
        <v>468</v>
      </c>
      <c r="L181" s="12" t="s">
        <v>469</v>
      </c>
      <c r="M181" s="12" t="s">
        <v>470</v>
      </c>
      <c r="N181" s="12" t="s">
        <v>471</v>
      </c>
      <c r="O181" s="12" t="s">
        <v>472</v>
      </c>
      <c r="P181" s="12" t="s">
        <v>460</v>
      </c>
      <c r="Q181" s="12" t="s">
        <v>500</v>
      </c>
    </row>
    <row r="182" spans="1:18" x14ac:dyDescent="0.2">
      <c r="A182" s="15" t="s">
        <v>828</v>
      </c>
      <c r="B182" s="15" t="s">
        <v>829</v>
      </c>
      <c r="C182" s="15" t="s">
        <v>18</v>
      </c>
      <c r="D182" s="13">
        <v>0</v>
      </c>
      <c r="E182" s="13">
        <v>0</v>
      </c>
      <c r="F182" s="13">
        <v>20</v>
      </c>
      <c r="G182" s="13">
        <v>20</v>
      </c>
      <c r="H182" s="13">
        <v>20</v>
      </c>
      <c r="I182" s="13">
        <v>20</v>
      </c>
      <c r="J182" s="13">
        <v>20</v>
      </c>
      <c r="K182" s="13">
        <v>19</v>
      </c>
      <c r="L182" s="13">
        <v>20</v>
      </c>
      <c r="M182" s="13">
        <v>19</v>
      </c>
      <c r="N182" s="13"/>
      <c r="O182" s="13"/>
      <c r="P182" s="19">
        <f t="shared" ref="P182:P196" si="9">SUM(D182:O182)</f>
        <v>158</v>
      </c>
      <c r="Q182" s="14">
        <f ca="1">P182-IFERROR(SMALL(D182:INDIRECT(ADDRESS(ROW(),4+Settings[Value])), 1),0)-IFERROR(SMALL(D182:INDIRECT(ADDRESS(ROW(),4+Settings[Value])),2),0)</f>
        <v>158</v>
      </c>
      <c r="R182" s="9"/>
    </row>
    <row r="183" spans="1:18" x14ac:dyDescent="0.2">
      <c r="A183" s="15" t="s">
        <v>214</v>
      </c>
      <c r="B183" s="15" t="s">
        <v>215</v>
      </c>
      <c r="C183" s="18" t="s">
        <v>18</v>
      </c>
      <c r="D183" s="13">
        <v>20</v>
      </c>
      <c r="E183" s="13">
        <v>20</v>
      </c>
      <c r="F183" s="13">
        <v>18</v>
      </c>
      <c r="G183" s="13">
        <v>0</v>
      </c>
      <c r="H183" s="13">
        <v>17</v>
      </c>
      <c r="I183" s="13">
        <v>17</v>
      </c>
      <c r="J183" s="13">
        <v>19</v>
      </c>
      <c r="K183" s="13">
        <v>18</v>
      </c>
      <c r="L183" s="13">
        <v>18</v>
      </c>
      <c r="M183" s="13">
        <v>0</v>
      </c>
      <c r="N183" s="13"/>
      <c r="O183" s="13"/>
      <c r="P183" s="13">
        <f t="shared" si="9"/>
        <v>147</v>
      </c>
      <c r="Q183" s="14">
        <f ca="1">P183-IFERROR(SMALL(D183:INDIRECT(ADDRESS(ROW(),4+Settings[Value])), 1),0)-IFERROR(SMALL(D183:INDIRECT(ADDRESS(ROW(),4+Settings[Value])),2),0)</f>
        <v>147</v>
      </c>
      <c r="R183" s="9"/>
    </row>
    <row r="184" spans="1:18" x14ac:dyDescent="0.2">
      <c r="A184" s="15" t="s">
        <v>220</v>
      </c>
      <c r="B184" s="15" t="s">
        <v>221</v>
      </c>
      <c r="C184" s="15" t="s">
        <v>18</v>
      </c>
      <c r="D184" s="13">
        <v>18</v>
      </c>
      <c r="E184" s="13">
        <v>19</v>
      </c>
      <c r="F184" s="13">
        <v>17</v>
      </c>
      <c r="G184" s="13">
        <v>18</v>
      </c>
      <c r="H184" s="13">
        <v>19</v>
      </c>
      <c r="I184" s="13">
        <v>0</v>
      </c>
      <c r="J184" s="13">
        <v>18</v>
      </c>
      <c r="K184" s="13">
        <v>17</v>
      </c>
      <c r="L184" s="13">
        <v>17</v>
      </c>
      <c r="M184" s="13">
        <v>17</v>
      </c>
      <c r="N184" s="13"/>
      <c r="O184" s="13"/>
      <c r="P184" s="19">
        <f t="shared" si="9"/>
        <v>160</v>
      </c>
      <c r="Q184" s="14">
        <f ca="1">P184-IFERROR(SMALL(D184:INDIRECT(ADDRESS(ROW(),4+Settings[Value])), 1),0)-IFERROR(SMALL(D184:INDIRECT(ADDRESS(ROW(),4+Settings[Value])),2),0)</f>
        <v>143</v>
      </c>
      <c r="R184" s="9"/>
    </row>
    <row r="185" spans="1:18" x14ac:dyDescent="0.2">
      <c r="A185" s="15" t="s">
        <v>218</v>
      </c>
      <c r="B185" s="15" t="s">
        <v>114</v>
      </c>
      <c r="C185" s="18" t="s">
        <v>18</v>
      </c>
      <c r="D185" s="13">
        <v>19</v>
      </c>
      <c r="E185" s="13">
        <v>18</v>
      </c>
      <c r="F185" s="13">
        <v>16</v>
      </c>
      <c r="G185" s="13">
        <v>19</v>
      </c>
      <c r="H185" s="13">
        <v>18</v>
      </c>
      <c r="I185" s="13">
        <v>18</v>
      </c>
      <c r="J185" s="13">
        <v>16</v>
      </c>
      <c r="K185" s="13">
        <v>16</v>
      </c>
      <c r="L185" s="13">
        <v>16</v>
      </c>
      <c r="M185" s="13">
        <v>18</v>
      </c>
      <c r="N185" s="13"/>
      <c r="O185" s="13"/>
      <c r="P185" s="13">
        <f t="shared" si="9"/>
        <v>174</v>
      </c>
      <c r="Q185" s="13">
        <f ca="1">P185-IFERROR(SMALL(D185:INDIRECT(ADDRESS(ROW(),4+Settings[Value])), 1),0)-IFERROR(SMALL(D185:INDIRECT(ADDRESS(ROW(),4+Settings[Value])),2),0)</f>
        <v>142</v>
      </c>
    </row>
    <row r="186" spans="1:18" x14ac:dyDescent="0.2">
      <c r="A186" s="15" t="s">
        <v>224</v>
      </c>
      <c r="B186" s="15" t="s">
        <v>225</v>
      </c>
      <c r="C186" s="18" t="s">
        <v>226</v>
      </c>
      <c r="D186" s="13">
        <v>17</v>
      </c>
      <c r="E186" s="13">
        <v>16</v>
      </c>
      <c r="F186" s="13">
        <v>15</v>
      </c>
      <c r="G186" s="13">
        <v>16</v>
      </c>
      <c r="H186" s="13">
        <v>16</v>
      </c>
      <c r="I186" s="13">
        <v>16</v>
      </c>
      <c r="J186" s="13">
        <v>14</v>
      </c>
      <c r="K186" s="13">
        <v>15</v>
      </c>
      <c r="L186" s="13">
        <v>0</v>
      </c>
      <c r="M186" s="13">
        <v>0</v>
      </c>
      <c r="N186" s="13"/>
      <c r="O186" s="13"/>
      <c r="P186" s="13">
        <f t="shared" si="9"/>
        <v>125</v>
      </c>
      <c r="Q186" s="13">
        <f ca="1">P186-IFERROR(SMALL(D186:INDIRECT(ADDRESS(ROW(),4+Settings[Value])), 1),0)-IFERROR(SMALL(D186:INDIRECT(ADDRESS(ROW(),4+Settings[Value])),2),0)</f>
        <v>125</v>
      </c>
    </row>
    <row r="187" spans="1:18" x14ac:dyDescent="0.2">
      <c r="A187" s="15" t="s">
        <v>844</v>
      </c>
      <c r="B187" s="15" t="s">
        <v>696</v>
      </c>
      <c r="C187" s="15" t="s">
        <v>18</v>
      </c>
      <c r="D187" s="13">
        <v>0</v>
      </c>
      <c r="E187" s="13">
        <v>0</v>
      </c>
      <c r="F187" s="13">
        <v>10</v>
      </c>
      <c r="G187" s="13">
        <v>0</v>
      </c>
      <c r="H187" s="13">
        <v>12</v>
      </c>
      <c r="I187" s="13">
        <v>15</v>
      </c>
      <c r="J187" s="13">
        <v>11</v>
      </c>
      <c r="K187" s="13">
        <v>14</v>
      </c>
      <c r="L187" s="13">
        <v>15</v>
      </c>
      <c r="M187" s="13">
        <v>12</v>
      </c>
      <c r="N187" s="13"/>
      <c r="O187" s="13"/>
      <c r="P187" s="19">
        <f t="shared" si="9"/>
        <v>89</v>
      </c>
      <c r="Q187" s="14">
        <f ca="1">P187-IFERROR(SMALL(D187:INDIRECT(ADDRESS(ROW(),4+Settings[Value])), 1),0)-IFERROR(SMALL(D187:INDIRECT(ADDRESS(ROW(),4+Settings[Value])),2),0)</f>
        <v>89</v>
      </c>
    </row>
    <row r="188" spans="1:18" x14ac:dyDescent="0.2">
      <c r="A188" s="15" t="s">
        <v>236</v>
      </c>
      <c r="B188" s="15" t="s">
        <v>237</v>
      </c>
      <c r="C188" s="18" t="s">
        <v>238</v>
      </c>
      <c r="D188" s="13">
        <v>14</v>
      </c>
      <c r="E188" s="13">
        <v>14</v>
      </c>
      <c r="F188" s="13">
        <v>0</v>
      </c>
      <c r="G188" s="13">
        <v>0</v>
      </c>
      <c r="H188" s="13">
        <v>10</v>
      </c>
      <c r="I188" s="13">
        <v>14</v>
      </c>
      <c r="J188" s="13">
        <v>9</v>
      </c>
      <c r="K188" s="13">
        <v>13</v>
      </c>
      <c r="L188" s="13">
        <v>14</v>
      </c>
      <c r="M188" s="13">
        <v>0</v>
      </c>
      <c r="N188" s="13"/>
      <c r="O188" s="13"/>
      <c r="P188" s="19">
        <f t="shared" si="9"/>
        <v>88</v>
      </c>
      <c r="Q188" s="13">
        <f ca="1">P188-IFERROR(SMALL(D188:INDIRECT(ADDRESS(ROW(),4+Settings[Value])), 1),0)-IFERROR(SMALL(D188:INDIRECT(ADDRESS(ROW(),4+Settings[Value])),2),0)</f>
        <v>88</v>
      </c>
      <c r="R188" s="9"/>
    </row>
    <row r="189" spans="1:18" x14ac:dyDescent="0.2">
      <c r="A189" s="15" t="s">
        <v>228</v>
      </c>
      <c r="B189" s="15" t="s">
        <v>229</v>
      </c>
      <c r="C189" s="18" t="s">
        <v>230</v>
      </c>
      <c r="D189" s="13">
        <v>16</v>
      </c>
      <c r="E189" s="13">
        <v>15</v>
      </c>
      <c r="F189" s="13">
        <v>12</v>
      </c>
      <c r="G189" s="13">
        <v>0</v>
      </c>
      <c r="H189" s="13">
        <v>14</v>
      </c>
      <c r="I189" s="13">
        <v>0</v>
      </c>
      <c r="J189" s="13">
        <v>12</v>
      </c>
      <c r="K189" s="13">
        <v>0</v>
      </c>
      <c r="L189" s="13">
        <v>0</v>
      </c>
      <c r="M189" s="13">
        <v>0</v>
      </c>
      <c r="N189" s="13"/>
      <c r="O189" s="13"/>
      <c r="P189" s="19">
        <f t="shared" si="9"/>
        <v>69</v>
      </c>
      <c r="Q189" s="13">
        <f ca="1">P189-IFERROR(SMALL(D189:INDIRECT(ADDRESS(ROW(),4+Settings[Value])), 1),0)-IFERROR(SMALL(D189:INDIRECT(ADDRESS(ROW(),4+Settings[Value])),2),0)</f>
        <v>69</v>
      </c>
      <c r="R189" s="9"/>
    </row>
    <row r="190" spans="1:18" x14ac:dyDescent="0.2">
      <c r="A190" s="15" t="s">
        <v>839</v>
      </c>
      <c r="B190" s="15" t="s">
        <v>274</v>
      </c>
      <c r="C190" s="15" t="s">
        <v>504</v>
      </c>
      <c r="D190" s="13">
        <v>0</v>
      </c>
      <c r="E190" s="13">
        <v>0</v>
      </c>
      <c r="F190" s="13">
        <v>13</v>
      </c>
      <c r="G190" s="13">
        <v>17</v>
      </c>
      <c r="H190" s="13">
        <v>15</v>
      </c>
      <c r="I190" s="13">
        <v>0</v>
      </c>
      <c r="J190" s="13">
        <v>0</v>
      </c>
      <c r="K190" s="13">
        <v>0</v>
      </c>
      <c r="L190" s="13">
        <v>0</v>
      </c>
      <c r="M190" s="13">
        <v>15</v>
      </c>
      <c r="N190" s="13"/>
      <c r="O190" s="13"/>
      <c r="P190" s="19">
        <f t="shared" si="9"/>
        <v>60</v>
      </c>
      <c r="Q190" s="13">
        <f ca="1">P190-IFERROR(SMALL(D190:INDIRECT(ADDRESS(ROW(),4+Settings[Value])), 1),0)-IFERROR(SMALL(D190:INDIRECT(ADDRESS(ROW(),4+Settings[Value])),2),0)</f>
        <v>60</v>
      </c>
      <c r="R190" s="9"/>
    </row>
    <row r="191" spans="1:18" x14ac:dyDescent="0.2">
      <c r="A191" s="15" t="s">
        <v>842</v>
      </c>
      <c r="B191" s="15" t="s">
        <v>126</v>
      </c>
      <c r="C191" s="15" t="s">
        <v>504</v>
      </c>
      <c r="D191" s="13">
        <v>0</v>
      </c>
      <c r="E191" s="13">
        <v>0</v>
      </c>
      <c r="F191" s="13">
        <v>11</v>
      </c>
      <c r="G191" s="13">
        <v>0</v>
      </c>
      <c r="H191" s="13">
        <v>13</v>
      </c>
      <c r="I191" s="13">
        <v>0</v>
      </c>
      <c r="J191" s="13">
        <v>10</v>
      </c>
      <c r="K191" s="13">
        <v>11</v>
      </c>
      <c r="L191" s="13">
        <v>0</v>
      </c>
      <c r="M191" s="13">
        <v>14</v>
      </c>
      <c r="N191" s="13"/>
      <c r="O191" s="13"/>
      <c r="P191" s="19">
        <f t="shared" si="9"/>
        <v>59</v>
      </c>
      <c r="Q191" s="13">
        <f ca="1">P191-IFERROR(SMALL(D191:INDIRECT(ADDRESS(ROW(),4+Settings[Value])), 1),0)-IFERROR(SMALL(D191:INDIRECT(ADDRESS(ROW(),4+Settings[Value])),2),0)</f>
        <v>59</v>
      </c>
    </row>
    <row r="192" spans="1:18" x14ac:dyDescent="0.2">
      <c r="A192" s="15" t="s">
        <v>243</v>
      </c>
      <c r="B192" s="15" t="s">
        <v>244</v>
      </c>
      <c r="C192" s="18" t="s">
        <v>12</v>
      </c>
      <c r="D192" s="13">
        <v>12</v>
      </c>
      <c r="E192" s="13">
        <v>12</v>
      </c>
      <c r="F192" s="13">
        <v>8</v>
      </c>
      <c r="G192" s="13">
        <v>0</v>
      </c>
      <c r="H192" s="13">
        <v>9</v>
      </c>
      <c r="I192" s="13">
        <v>13</v>
      </c>
      <c r="J192" s="13">
        <v>0</v>
      </c>
      <c r="K192" s="13">
        <v>0</v>
      </c>
      <c r="L192" s="13">
        <v>0</v>
      </c>
      <c r="M192" s="13">
        <v>0</v>
      </c>
      <c r="N192" s="13"/>
      <c r="O192" s="13"/>
      <c r="P192" s="13">
        <f t="shared" si="9"/>
        <v>54</v>
      </c>
      <c r="Q192" s="13">
        <f ca="1">P192-IFERROR(SMALL(D192:INDIRECT(ADDRESS(ROW(),4+Settings[Value])), 1),0)-IFERROR(SMALL(D192:INDIRECT(ADDRESS(ROW(),4+Settings[Value])),2),0)</f>
        <v>54</v>
      </c>
    </row>
    <row r="193" spans="1:17" x14ac:dyDescent="0.2">
      <c r="A193" s="15" t="s">
        <v>609</v>
      </c>
      <c r="B193" s="15" t="s">
        <v>837</v>
      </c>
      <c r="C193" s="15" t="s">
        <v>8</v>
      </c>
      <c r="D193" s="13">
        <v>0</v>
      </c>
      <c r="E193" s="13">
        <v>17</v>
      </c>
      <c r="F193" s="13">
        <v>14</v>
      </c>
      <c r="G193" s="13">
        <v>0</v>
      </c>
      <c r="H193" s="13">
        <v>0</v>
      </c>
      <c r="I193" s="13">
        <v>0</v>
      </c>
      <c r="J193" s="13">
        <v>0</v>
      </c>
      <c r="K193" s="13">
        <v>0</v>
      </c>
      <c r="L193" s="13">
        <v>0</v>
      </c>
      <c r="M193" s="13">
        <v>0</v>
      </c>
      <c r="N193" s="13"/>
      <c r="O193" s="13"/>
      <c r="P193" s="19">
        <f t="shared" si="9"/>
        <v>31</v>
      </c>
      <c r="Q193" s="13">
        <f ca="1">P193-IFERROR(SMALL(D193:INDIRECT(ADDRESS(ROW(),4+Settings[Value])), 1),0)-IFERROR(SMALL(D193:INDIRECT(ADDRESS(ROW(),4+Settings[Value])),2),0)</f>
        <v>31</v>
      </c>
    </row>
    <row r="194" spans="1:17" x14ac:dyDescent="0.2">
      <c r="A194" s="15" t="s">
        <v>1415</v>
      </c>
      <c r="B194" s="15" t="s">
        <v>257</v>
      </c>
      <c r="C194" s="15" t="s">
        <v>12</v>
      </c>
      <c r="D194" s="13">
        <v>0</v>
      </c>
      <c r="E194" s="13">
        <v>0</v>
      </c>
      <c r="F194" s="13">
        <v>0</v>
      </c>
      <c r="G194" s="13">
        <v>0</v>
      </c>
      <c r="H194" s="13">
        <v>0</v>
      </c>
      <c r="I194" s="13">
        <v>19</v>
      </c>
      <c r="J194" s="13">
        <v>0</v>
      </c>
      <c r="K194" s="13">
        <v>0</v>
      </c>
      <c r="L194" s="13">
        <v>0</v>
      </c>
      <c r="M194" s="13">
        <v>0</v>
      </c>
      <c r="N194" s="13"/>
      <c r="O194" s="13"/>
      <c r="P194" s="19">
        <f t="shared" si="9"/>
        <v>19</v>
      </c>
      <c r="Q194" s="19">
        <f ca="1">P194-IFERROR(SMALL(D194:INDIRECT(ADDRESS(ROW(),4+Settings[Value])), 1),0)-IFERROR(SMALL(D194:INDIRECT(ADDRESS(ROW(),4+Settings[Value])),2),0)</f>
        <v>19</v>
      </c>
    </row>
    <row r="195" spans="1:17" x14ac:dyDescent="0.2">
      <c r="A195" s="15" t="s">
        <v>1077</v>
      </c>
      <c r="B195" s="15" t="s">
        <v>1078</v>
      </c>
      <c r="C195" s="15" t="s">
        <v>44</v>
      </c>
      <c r="D195" s="13">
        <v>0</v>
      </c>
      <c r="E195" s="13">
        <v>0</v>
      </c>
      <c r="F195" s="13">
        <v>0</v>
      </c>
      <c r="G195" s="13">
        <v>15</v>
      </c>
      <c r="H195" s="13">
        <v>0</v>
      </c>
      <c r="I195" s="13">
        <v>0</v>
      </c>
      <c r="J195" s="13">
        <v>0</v>
      </c>
      <c r="K195" s="13">
        <v>0</v>
      </c>
      <c r="L195" s="13">
        <v>0</v>
      </c>
      <c r="M195" s="13">
        <v>0</v>
      </c>
      <c r="N195" s="13"/>
      <c r="O195" s="13"/>
      <c r="P195" s="19">
        <f t="shared" si="9"/>
        <v>15</v>
      </c>
      <c r="Q195" s="19">
        <f ca="1">P195-IFERROR(SMALL(D195:INDIRECT(ADDRESS(ROW(),4+Settings[Value])), 1),0)-IFERROR(SMALL(D195:INDIRECT(ADDRESS(ROW(),4+Settings[Value])),2),0)</f>
        <v>15</v>
      </c>
    </row>
    <row r="196" spans="1:17" x14ac:dyDescent="0.2">
      <c r="A196" s="15" t="s">
        <v>846</v>
      </c>
      <c r="B196" s="15" t="s">
        <v>847</v>
      </c>
      <c r="C196" s="15" t="s">
        <v>692</v>
      </c>
      <c r="D196" s="13">
        <v>0</v>
      </c>
      <c r="E196" s="13">
        <v>0</v>
      </c>
      <c r="F196" s="13">
        <v>9</v>
      </c>
      <c r="G196" s="13">
        <v>0</v>
      </c>
      <c r="H196" s="13">
        <v>0</v>
      </c>
      <c r="I196" s="13">
        <v>0</v>
      </c>
      <c r="J196" s="13">
        <v>0</v>
      </c>
      <c r="K196" s="13">
        <v>0</v>
      </c>
      <c r="L196" s="13">
        <v>0</v>
      </c>
      <c r="M196" s="13">
        <v>0</v>
      </c>
      <c r="N196" s="13"/>
      <c r="O196" s="13"/>
      <c r="P196" s="19">
        <f t="shared" si="9"/>
        <v>9</v>
      </c>
      <c r="Q196" s="13">
        <f ca="1">P196-IFERROR(SMALL(D196:INDIRECT(ADDRESS(ROW(),4+Settings[Value])), 1),0)-IFERROR(SMALL(D196:INDIRECT(ADDRESS(ROW(),4+Settings[Value])),2),0)</f>
        <v>9</v>
      </c>
    </row>
    <row r="197" spans="1:17" x14ac:dyDescent="0.2">
      <c r="A197" s="16"/>
      <c r="B197" s="16"/>
      <c r="C197" s="16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22"/>
      <c r="Q197" s="14"/>
    </row>
    <row r="198" spans="1:17" ht="13.5" thickBot="1" x14ac:dyDescent="0.25">
      <c r="A198" s="10" t="s">
        <v>248</v>
      </c>
    </row>
    <row r="199" spans="1:17" ht="13.5" thickTop="1" x14ac:dyDescent="0.2">
      <c r="A199" s="11" t="s">
        <v>1</v>
      </c>
      <c r="B199" s="11" t="s">
        <v>2</v>
      </c>
      <c r="C199" s="11" t="s">
        <v>3</v>
      </c>
      <c r="D199" s="12" t="s">
        <v>461</v>
      </c>
      <c r="E199" s="12" t="s">
        <v>462</v>
      </c>
      <c r="F199" s="12" t="s">
        <v>463</v>
      </c>
      <c r="G199" s="12" t="s">
        <v>464</v>
      </c>
      <c r="H199" s="12" t="s">
        <v>465</v>
      </c>
      <c r="I199" s="12" t="s">
        <v>466</v>
      </c>
      <c r="J199" s="12" t="s">
        <v>467</v>
      </c>
      <c r="K199" s="12" t="s">
        <v>468</v>
      </c>
      <c r="L199" s="12" t="s">
        <v>469</v>
      </c>
      <c r="M199" s="12" t="s">
        <v>470</v>
      </c>
      <c r="N199" s="12" t="s">
        <v>471</v>
      </c>
      <c r="O199" s="12" t="s">
        <v>472</v>
      </c>
      <c r="P199" s="12" t="s">
        <v>460</v>
      </c>
      <c r="Q199" s="12" t="s">
        <v>500</v>
      </c>
    </row>
    <row r="200" spans="1:17" x14ac:dyDescent="0.2">
      <c r="A200" s="15" t="s">
        <v>246</v>
      </c>
      <c r="B200" s="15" t="s">
        <v>20</v>
      </c>
      <c r="C200" s="18" t="s">
        <v>44</v>
      </c>
      <c r="D200" s="13">
        <v>20</v>
      </c>
      <c r="E200" s="13">
        <v>20</v>
      </c>
      <c r="F200" s="13">
        <v>18</v>
      </c>
      <c r="G200" s="13">
        <v>0</v>
      </c>
      <c r="H200" s="13">
        <v>19</v>
      </c>
      <c r="I200" s="13">
        <v>19</v>
      </c>
      <c r="J200" s="13">
        <v>20</v>
      </c>
      <c r="K200" s="13">
        <v>20</v>
      </c>
      <c r="L200" s="13">
        <v>20</v>
      </c>
      <c r="M200" s="13">
        <v>20</v>
      </c>
      <c r="N200" s="13"/>
      <c r="O200" s="13"/>
      <c r="P200" s="13">
        <f t="shared" ref="P200:P206" si="10">SUM(D200:O200)</f>
        <v>176</v>
      </c>
      <c r="Q200" s="14">
        <f ca="1">P200-IFERROR(SMALL(D200:INDIRECT(ADDRESS(ROW(),4+Settings[Value])), 1),0)-IFERROR(SMALL(D200:INDIRECT(ADDRESS(ROW(),4+Settings[Value])),2),0)</f>
        <v>158</v>
      </c>
    </row>
    <row r="201" spans="1:17" x14ac:dyDescent="0.2">
      <c r="A201" s="15" t="s">
        <v>249</v>
      </c>
      <c r="B201" s="15" t="s">
        <v>250</v>
      </c>
      <c r="C201" s="18" t="s">
        <v>617</v>
      </c>
      <c r="D201" s="13">
        <v>19</v>
      </c>
      <c r="E201" s="13">
        <v>19</v>
      </c>
      <c r="F201" s="13">
        <v>17</v>
      </c>
      <c r="G201" s="13">
        <v>0</v>
      </c>
      <c r="H201" s="13">
        <v>18</v>
      </c>
      <c r="I201" s="13">
        <v>18</v>
      </c>
      <c r="J201" s="13">
        <v>19</v>
      </c>
      <c r="K201" s="13">
        <v>19</v>
      </c>
      <c r="L201" s="13">
        <v>0</v>
      </c>
      <c r="M201" s="13">
        <v>18</v>
      </c>
      <c r="N201" s="13"/>
      <c r="O201" s="13"/>
      <c r="P201" s="13">
        <f t="shared" si="10"/>
        <v>147</v>
      </c>
      <c r="Q201" s="13">
        <f ca="1">P201-IFERROR(SMALL(D201:INDIRECT(ADDRESS(ROW(),4+Settings[Value])), 1),0)-IFERROR(SMALL(D201:INDIRECT(ADDRESS(ROW(),4+Settings[Value])),2),0)</f>
        <v>147</v>
      </c>
    </row>
    <row r="202" spans="1:17" x14ac:dyDescent="0.2">
      <c r="A202" s="15" t="s">
        <v>113</v>
      </c>
      <c r="B202" s="15" t="s">
        <v>253</v>
      </c>
      <c r="C202" s="18" t="s">
        <v>254</v>
      </c>
      <c r="D202" s="13">
        <v>18</v>
      </c>
      <c r="E202" s="13">
        <v>18</v>
      </c>
      <c r="F202" s="13">
        <v>15</v>
      </c>
      <c r="G202" s="13">
        <v>19</v>
      </c>
      <c r="H202" s="13">
        <v>17</v>
      </c>
      <c r="I202" s="13">
        <v>16</v>
      </c>
      <c r="J202" s="13">
        <v>17</v>
      </c>
      <c r="K202" s="13">
        <v>18</v>
      </c>
      <c r="L202" s="13">
        <v>19</v>
      </c>
      <c r="M202" s="13">
        <v>0</v>
      </c>
      <c r="N202" s="13"/>
      <c r="O202" s="13"/>
      <c r="P202" s="13">
        <f t="shared" si="10"/>
        <v>157</v>
      </c>
      <c r="Q202" s="9">
        <f ca="1">P202-IFERROR(SMALL(D202:INDIRECT(ADDRESS(ROW(),4+Settings[Value])), 1),0)-IFERROR(SMALL(D202:INDIRECT(ADDRESS(ROW(),4+Settings[Value])),2),0)</f>
        <v>142</v>
      </c>
    </row>
    <row r="203" spans="1:17" x14ac:dyDescent="0.2">
      <c r="A203" s="15" t="s">
        <v>256</v>
      </c>
      <c r="B203" s="15" t="s">
        <v>257</v>
      </c>
      <c r="C203" s="18" t="s">
        <v>238</v>
      </c>
      <c r="D203" s="13">
        <v>17</v>
      </c>
      <c r="E203" s="13">
        <v>17</v>
      </c>
      <c r="F203" s="13">
        <v>0</v>
      </c>
      <c r="G203" s="13">
        <v>0</v>
      </c>
      <c r="H203" s="13">
        <v>14</v>
      </c>
      <c r="I203" s="13">
        <v>14</v>
      </c>
      <c r="J203" s="13">
        <v>16</v>
      </c>
      <c r="K203" s="13">
        <v>16</v>
      </c>
      <c r="L203" s="13">
        <v>18</v>
      </c>
      <c r="M203" s="13">
        <v>0</v>
      </c>
      <c r="N203" s="13"/>
      <c r="O203" s="13"/>
      <c r="P203" s="13">
        <f t="shared" si="10"/>
        <v>112</v>
      </c>
      <c r="Q203" s="13">
        <f ca="1">P203-IFERROR(SMALL(D203:INDIRECT(ADDRESS(ROW(),4+Settings[Value])), 1),0)-IFERROR(SMALL(D203:INDIRECT(ADDRESS(ROW(),4+Settings[Value])),2),0)</f>
        <v>112</v>
      </c>
    </row>
    <row r="204" spans="1:17" x14ac:dyDescent="0.2">
      <c r="A204" s="15" t="s">
        <v>1425</v>
      </c>
      <c r="B204" s="15" t="s">
        <v>278</v>
      </c>
      <c r="C204" s="15" t="s">
        <v>100</v>
      </c>
      <c r="D204" s="13">
        <v>0</v>
      </c>
      <c r="E204" s="13">
        <v>0</v>
      </c>
      <c r="F204" s="13">
        <v>0</v>
      </c>
      <c r="G204" s="13">
        <v>0</v>
      </c>
      <c r="H204" s="13">
        <v>0</v>
      </c>
      <c r="I204" s="13">
        <v>15</v>
      </c>
      <c r="J204" s="13">
        <v>0</v>
      </c>
      <c r="K204" s="13">
        <v>17</v>
      </c>
      <c r="L204" s="13">
        <v>17</v>
      </c>
      <c r="M204" s="13">
        <v>15</v>
      </c>
      <c r="N204" s="13"/>
      <c r="O204" s="13"/>
      <c r="P204" s="13">
        <f t="shared" si="10"/>
        <v>64</v>
      </c>
      <c r="Q204" s="19">
        <f ca="1">P204-IFERROR(SMALL(D204:INDIRECT(ADDRESS(ROW(),4+Settings[Value])), 1),0)-IFERROR(SMALL(D204:INDIRECT(ADDRESS(ROW(),4+Settings[Value])),2),0)</f>
        <v>64</v>
      </c>
    </row>
    <row r="205" spans="1:17" x14ac:dyDescent="0.2">
      <c r="A205" s="15" t="s">
        <v>858</v>
      </c>
      <c r="B205" s="15" t="s">
        <v>859</v>
      </c>
      <c r="C205" s="15" t="s">
        <v>12</v>
      </c>
      <c r="D205" s="13">
        <v>0</v>
      </c>
      <c r="E205" s="13">
        <v>0</v>
      </c>
      <c r="F205" s="13">
        <v>16</v>
      </c>
      <c r="G205" s="13">
        <v>0</v>
      </c>
      <c r="H205" s="13">
        <v>0</v>
      </c>
      <c r="I205" s="13">
        <v>0</v>
      </c>
      <c r="J205" s="13">
        <v>0</v>
      </c>
      <c r="K205" s="13">
        <v>0</v>
      </c>
      <c r="L205" s="13">
        <v>0</v>
      </c>
      <c r="M205" s="13">
        <v>0</v>
      </c>
      <c r="N205" s="13"/>
      <c r="O205" s="13"/>
      <c r="P205" s="13">
        <f t="shared" si="10"/>
        <v>16</v>
      </c>
      <c r="Q205" s="13">
        <f ca="1">P205-IFERROR(SMALL(D205:INDIRECT(ADDRESS(ROW(),4+Settings[Value])), 1),0)-IFERROR(SMALL(D205:INDIRECT(ADDRESS(ROW(),4+Settings[Value])),2),0)</f>
        <v>16</v>
      </c>
    </row>
    <row r="206" spans="1:17" x14ac:dyDescent="0.2">
      <c r="A206" s="15" t="s">
        <v>2047</v>
      </c>
      <c r="B206" s="15" t="s">
        <v>1996</v>
      </c>
      <c r="C206" s="15" t="s">
        <v>31</v>
      </c>
      <c r="D206" s="13">
        <v>0</v>
      </c>
      <c r="E206" s="13">
        <v>0</v>
      </c>
      <c r="F206" s="13">
        <v>0</v>
      </c>
      <c r="G206" s="13">
        <v>0</v>
      </c>
      <c r="H206" s="13">
        <v>0</v>
      </c>
      <c r="I206" s="13">
        <v>0</v>
      </c>
      <c r="J206" s="13">
        <v>0</v>
      </c>
      <c r="K206" s="13">
        <v>0</v>
      </c>
      <c r="L206" s="13">
        <v>0</v>
      </c>
      <c r="M206" s="13">
        <v>16</v>
      </c>
      <c r="N206" s="13"/>
      <c r="O206" s="13"/>
      <c r="P206" s="13">
        <f t="shared" si="10"/>
        <v>16</v>
      </c>
      <c r="Q206" s="19">
        <f ca="1">P206-IFERROR(SMALL(D206:INDIRECT(ADDRESS(ROW(),4+Settings[Value])), 1),0)-IFERROR(SMALL(D206:INDIRECT(ADDRESS(ROW(),4+Settings[Value])),2),0)</f>
        <v>16</v>
      </c>
    </row>
    <row r="208" spans="1:17" ht="13.5" thickBot="1" x14ac:dyDescent="0.25">
      <c r="A208" s="10" t="s">
        <v>269</v>
      </c>
    </row>
    <row r="209" spans="1:17" ht="13.5" thickTop="1" x14ac:dyDescent="0.2">
      <c r="A209" s="11" t="s">
        <v>1</v>
      </c>
      <c r="B209" s="11" t="s">
        <v>2</v>
      </c>
      <c r="C209" s="11" t="s">
        <v>3</v>
      </c>
      <c r="D209" s="12" t="s">
        <v>461</v>
      </c>
      <c r="E209" s="12" t="s">
        <v>462</v>
      </c>
      <c r="F209" s="12" t="s">
        <v>463</v>
      </c>
      <c r="G209" s="12" t="s">
        <v>464</v>
      </c>
      <c r="H209" s="12" t="s">
        <v>465</v>
      </c>
      <c r="I209" s="12" t="s">
        <v>466</v>
      </c>
      <c r="J209" s="12" t="s">
        <v>467</v>
      </c>
      <c r="K209" s="12" t="s">
        <v>468</v>
      </c>
      <c r="L209" s="12" t="s">
        <v>469</v>
      </c>
      <c r="M209" s="12" t="s">
        <v>470</v>
      </c>
      <c r="N209" s="12" t="s">
        <v>471</v>
      </c>
      <c r="O209" s="12" t="s">
        <v>472</v>
      </c>
      <c r="P209" s="12" t="s">
        <v>460</v>
      </c>
      <c r="Q209" s="12" t="s">
        <v>500</v>
      </c>
    </row>
    <row r="210" spans="1:17" x14ac:dyDescent="0.2">
      <c r="A210" s="15" t="s">
        <v>265</v>
      </c>
      <c r="B210" s="15" t="s">
        <v>266</v>
      </c>
      <c r="C210" s="18" t="s">
        <v>267</v>
      </c>
      <c r="D210" s="13">
        <v>20</v>
      </c>
      <c r="E210" s="13">
        <v>20</v>
      </c>
      <c r="F210" s="13">
        <v>20</v>
      </c>
      <c r="G210" s="13">
        <v>0</v>
      </c>
      <c r="H210" s="13">
        <v>20</v>
      </c>
      <c r="I210" s="13">
        <v>19</v>
      </c>
      <c r="J210" s="13">
        <v>20</v>
      </c>
      <c r="K210" s="13">
        <v>20</v>
      </c>
      <c r="L210" s="13">
        <v>19</v>
      </c>
      <c r="M210" s="13">
        <v>0</v>
      </c>
      <c r="N210" s="13"/>
      <c r="O210" s="13"/>
      <c r="P210" s="13">
        <f t="shared" ref="P210:P240" si="11">SUM(D210:O210)</f>
        <v>158</v>
      </c>
      <c r="Q210" s="14">
        <f ca="1">P210-IFERROR(SMALL(D210:INDIRECT(ADDRESS(ROW(),4+Settings[Value])), 1),0)-IFERROR(SMALL(D210:INDIRECT(ADDRESS(ROW(),4+Settings[Value])),2),0)</f>
        <v>158</v>
      </c>
    </row>
    <row r="211" spans="1:17" x14ac:dyDescent="0.2">
      <c r="A211" s="15" t="s">
        <v>270</v>
      </c>
      <c r="B211" s="15" t="s">
        <v>24</v>
      </c>
      <c r="C211" s="18" t="s">
        <v>271</v>
      </c>
      <c r="D211" s="13">
        <v>19</v>
      </c>
      <c r="E211" s="13">
        <v>19</v>
      </c>
      <c r="F211" s="13">
        <v>18</v>
      </c>
      <c r="G211" s="13">
        <v>19</v>
      </c>
      <c r="H211" s="13">
        <v>19</v>
      </c>
      <c r="I211" s="13">
        <v>0</v>
      </c>
      <c r="J211" s="13">
        <v>19</v>
      </c>
      <c r="K211" s="13">
        <v>19</v>
      </c>
      <c r="L211" s="13">
        <v>20</v>
      </c>
      <c r="M211" s="13">
        <v>19</v>
      </c>
      <c r="N211" s="13"/>
      <c r="O211" s="13"/>
      <c r="P211" s="13">
        <f t="shared" si="11"/>
        <v>171</v>
      </c>
      <c r="Q211" s="9">
        <f ca="1">P211-IFERROR(SMALL(D211:INDIRECT(ADDRESS(ROW(),4+Settings[Value])), 1),0)-IFERROR(SMALL(D211:INDIRECT(ADDRESS(ROW(),4+Settings[Value])),2),0)</f>
        <v>153</v>
      </c>
    </row>
    <row r="212" spans="1:17" x14ac:dyDescent="0.2">
      <c r="A212" s="15" t="s">
        <v>625</v>
      </c>
      <c r="B212" s="15" t="s">
        <v>174</v>
      </c>
      <c r="C212" s="18" t="s">
        <v>290</v>
      </c>
      <c r="D212" s="14">
        <v>13</v>
      </c>
      <c r="E212" s="14">
        <v>17</v>
      </c>
      <c r="F212" s="14">
        <v>12</v>
      </c>
      <c r="G212" s="14">
        <v>14</v>
      </c>
      <c r="H212" s="14">
        <v>12</v>
      </c>
      <c r="I212" s="14">
        <v>15</v>
      </c>
      <c r="J212" s="14">
        <v>16</v>
      </c>
      <c r="K212" s="14">
        <v>17</v>
      </c>
      <c r="L212" s="14">
        <v>16</v>
      </c>
      <c r="M212" s="14">
        <v>16</v>
      </c>
      <c r="N212" s="14"/>
      <c r="O212" s="14"/>
      <c r="P212" s="14">
        <f t="shared" si="11"/>
        <v>148</v>
      </c>
      <c r="Q212" s="14">
        <f ca="1">P212-IFERROR(SMALL(D212:INDIRECT(ADDRESS(ROW(),4+Settings[Value])), 1),0)-IFERROR(SMALL(D212:INDIRECT(ADDRESS(ROW(),4+Settings[Value])),2),0)</f>
        <v>124</v>
      </c>
    </row>
    <row r="213" spans="1:17" x14ac:dyDescent="0.2">
      <c r="A213" s="15" t="s">
        <v>283</v>
      </c>
      <c r="B213" s="15" t="s">
        <v>284</v>
      </c>
      <c r="C213" s="18" t="s">
        <v>18</v>
      </c>
      <c r="D213" s="14">
        <v>15</v>
      </c>
      <c r="E213" s="14">
        <v>18</v>
      </c>
      <c r="F213" s="14">
        <v>0</v>
      </c>
      <c r="G213" s="14">
        <v>15</v>
      </c>
      <c r="H213" s="14">
        <v>17</v>
      </c>
      <c r="I213" s="14">
        <v>18</v>
      </c>
      <c r="J213" s="14">
        <v>18</v>
      </c>
      <c r="K213" s="14">
        <v>0</v>
      </c>
      <c r="L213" s="14">
        <v>0</v>
      </c>
      <c r="M213" s="14">
        <v>0</v>
      </c>
      <c r="N213" s="14"/>
      <c r="O213" s="14"/>
      <c r="P213" s="14">
        <f t="shared" si="11"/>
        <v>101</v>
      </c>
      <c r="Q213" s="14">
        <f ca="1">P213-IFERROR(SMALL(D213:INDIRECT(ADDRESS(ROW(),4+Settings[Value])), 1),0)-IFERROR(SMALL(D213:INDIRECT(ADDRESS(ROW(),4+Settings[Value])),2),0)</f>
        <v>101</v>
      </c>
    </row>
    <row r="214" spans="1:17" x14ac:dyDescent="0.2">
      <c r="A214" s="15" t="s">
        <v>273</v>
      </c>
      <c r="B214" s="15" t="s">
        <v>274</v>
      </c>
      <c r="C214" s="18" t="s">
        <v>275</v>
      </c>
      <c r="D214" s="14">
        <v>18</v>
      </c>
      <c r="E214" s="14">
        <v>0</v>
      </c>
      <c r="F214" s="14">
        <v>16</v>
      </c>
      <c r="G214" s="14">
        <v>0</v>
      </c>
      <c r="H214" s="14">
        <v>18</v>
      </c>
      <c r="I214" s="14">
        <v>20</v>
      </c>
      <c r="J214" s="14">
        <v>0</v>
      </c>
      <c r="K214" s="14">
        <v>0</v>
      </c>
      <c r="L214" s="14">
        <v>0</v>
      </c>
      <c r="M214" s="14">
        <v>0</v>
      </c>
      <c r="N214" s="14"/>
      <c r="O214" s="14"/>
      <c r="P214" s="14">
        <f t="shared" si="11"/>
        <v>72</v>
      </c>
      <c r="Q214" s="14">
        <f ca="1">P214-IFERROR(SMALL(D214:INDIRECT(ADDRESS(ROW(),4+Settings[Value])), 1),0)-IFERROR(SMALL(D214:INDIRECT(ADDRESS(ROW(),4+Settings[Value])),2),0)</f>
        <v>72</v>
      </c>
    </row>
    <row r="215" spans="1:17" x14ac:dyDescent="0.2">
      <c r="A215" s="15" t="s">
        <v>277</v>
      </c>
      <c r="B215" s="15" t="s">
        <v>278</v>
      </c>
      <c r="C215" s="18" t="s">
        <v>275</v>
      </c>
      <c r="D215" s="14">
        <v>17</v>
      </c>
      <c r="E215" s="14">
        <v>0</v>
      </c>
      <c r="F215" s="14">
        <v>17</v>
      </c>
      <c r="G215" s="14">
        <v>0</v>
      </c>
      <c r="H215" s="14">
        <v>16</v>
      </c>
      <c r="I215" s="14">
        <v>0</v>
      </c>
      <c r="J215" s="14">
        <v>0</v>
      </c>
      <c r="K215" s="14">
        <v>0</v>
      </c>
      <c r="L215" s="14">
        <v>0</v>
      </c>
      <c r="M215" s="14">
        <v>20</v>
      </c>
      <c r="N215" s="14"/>
      <c r="O215" s="14"/>
      <c r="P215" s="14">
        <f t="shared" si="11"/>
        <v>70</v>
      </c>
      <c r="Q215" s="14">
        <f ca="1">P215-IFERROR(SMALL(D215:INDIRECT(ADDRESS(ROW(),4+Settings[Value])), 1),0)-IFERROR(SMALL(D215:INDIRECT(ADDRESS(ROW(),4+Settings[Value])),2),0)</f>
        <v>70</v>
      </c>
    </row>
    <row r="216" spans="1:17" x14ac:dyDescent="0.2">
      <c r="A216" s="15" t="s">
        <v>315</v>
      </c>
      <c r="B216" s="15" t="s">
        <v>23</v>
      </c>
      <c r="C216" s="18" t="s">
        <v>18</v>
      </c>
      <c r="D216" s="14">
        <v>4</v>
      </c>
      <c r="E216" s="14">
        <v>15</v>
      </c>
      <c r="F216" s="14">
        <v>4</v>
      </c>
      <c r="G216" s="14">
        <v>8</v>
      </c>
      <c r="H216" s="14">
        <v>8</v>
      </c>
      <c r="I216" s="14">
        <v>0</v>
      </c>
      <c r="J216" s="14">
        <v>14</v>
      </c>
      <c r="K216" s="14">
        <v>0</v>
      </c>
      <c r="L216" s="14">
        <v>0</v>
      </c>
      <c r="M216" s="14">
        <v>0</v>
      </c>
      <c r="N216" s="14"/>
      <c r="O216" s="14"/>
      <c r="P216" s="14">
        <f t="shared" si="11"/>
        <v>53</v>
      </c>
      <c r="Q216" s="14">
        <f ca="1">P216-IFERROR(SMALL(D216:INDIRECT(ADDRESS(ROW(),4+Settings[Value])), 1),0)-IFERROR(SMALL(D216:INDIRECT(ADDRESS(ROW(),4+Settings[Value])),2),0)</f>
        <v>53</v>
      </c>
    </row>
    <row r="217" spans="1:17" x14ac:dyDescent="0.2">
      <c r="A217" s="15" t="s">
        <v>295</v>
      </c>
      <c r="B217" s="15" t="s">
        <v>139</v>
      </c>
      <c r="C217" s="18" t="s">
        <v>18</v>
      </c>
      <c r="D217" s="14">
        <v>11</v>
      </c>
      <c r="E217" s="14">
        <v>0</v>
      </c>
      <c r="F217" s="14">
        <v>7</v>
      </c>
      <c r="G217" s="14">
        <v>0</v>
      </c>
      <c r="H217" s="14">
        <v>9</v>
      </c>
      <c r="I217" s="14">
        <v>0</v>
      </c>
      <c r="J217" s="14">
        <v>17</v>
      </c>
      <c r="K217" s="14">
        <v>0</v>
      </c>
      <c r="L217" s="14">
        <v>0</v>
      </c>
      <c r="M217" s="14">
        <v>0</v>
      </c>
      <c r="N217" s="14"/>
      <c r="O217" s="14"/>
      <c r="P217" s="14">
        <f t="shared" si="11"/>
        <v>44</v>
      </c>
      <c r="Q217" s="14">
        <f ca="1">P217-IFERROR(SMALL(D217:INDIRECT(ADDRESS(ROW(),4+Settings[Value])), 1),0)-IFERROR(SMALL(D217:INDIRECT(ADDRESS(ROW(),4+Settings[Value])),2),0)</f>
        <v>44</v>
      </c>
    </row>
    <row r="218" spans="1:17" x14ac:dyDescent="0.2">
      <c r="A218" s="15" t="s">
        <v>303</v>
      </c>
      <c r="B218" s="15" t="s">
        <v>304</v>
      </c>
      <c r="C218" s="18" t="s">
        <v>275</v>
      </c>
      <c r="D218" s="13">
        <v>8</v>
      </c>
      <c r="E218" s="13">
        <v>0</v>
      </c>
      <c r="F218" s="13">
        <v>15</v>
      </c>
      <c r="G218" s="13">
        <v>0</v>
      </c>
      <c r="H218" s="13">
        <v>15</v>
      </c>
      <c r="I218" s="13">
        <v>0</v>
      </c>
      <c r="J218" s="13">
        <v>0</v>
      </c>
      <c r="K218" s="13">
        <v>0</v>
      </c>
      <c r="L218" s="13">
        <v>0</v>
      </c>
      <c r="M218" s="13">
        <v>0</v>
      </c>
      <c r="N218" s="13"/>
      <c r="O218" s="13"/>
      <c r="P218" s="13">
        <f t="shared" si="11"/>
        <v>38</v>
      </c>
      <c r="Q218" s="14">
        <f ca="1">P218-IFERROR(SMALL(D218:INDIRECT(ADDRESS(ROW(),4+Settings[Value])), 1),0)-IFERROR(SMALL(D218:INDIRECT(ADDRESS(ROW(),4+Settings[Value])),2),0)</f>
        <v>38</v>
      </c>
    </row>
    <row r="219" spans="1:17" x14ac:dyDescent="0.2">
      <c r="A219" s="15" t="s">
        <v>286</v>
      </c>
      <c r="B219" s="15" t="s">
        <v>287</v>
      </c>
      <c r="C219" s="18" t="s">
        <v>38</v>
      </c>
      <c r="D219" s="13">
        <v>14</v>
      </c>
      <c r="E219" s="13">
        <v>0</v>
      </c>
      <c r="F219" s="13">
        <v>0</v>
      </c>
      <c r="G219" s="13">
        <v>20</v>
      </c>
      <c r="H219" s="13">
        <v>0</v>
      </c>
      <c r="I219" s="13">
        <v>0</v>
      </c>
      <c r="J219" s="13">
        <v>0</v>
      </c>
      <c r="K219" s="13">
        <v>0</v>
      </c>
      <c r="L219" s="13">
        <v>0</v>
      </c>
      <c r="M219" s="13">
        <v>0</v>
      </c>
      <c r="N219" s="13"/>
      <c r="O219" s="13"/>
      <c r="P219" s="13">
        <f t="shared" si="11"/>
        <v>34</v>
      </c>
      <c r="Q219" s="14">
        <f ca="1">P219-IFERROR(SMALL(D219:INDIRECT(ADDRESS(ROW(),4+Settings[Value])), 1),0)-IFERROR(SMALL(D219:INDIRECT(ADDRESS(ROW(),4+Settings[Value])),2),0)</f>
        <v>34</v>
      </c>
    </row>
    <row r="220" spans="1:17" x14ac:dyDescent="0.2">
      <c r="A220" s="15" t="s">
        <v>312</v>
      </c>
      <c r="B220" s="15" t="s">
        <v>85</v>
      </c>
      <c r="C220" s="18" t="s">
        <v>313</v>
      </c>
      <c r="D220" s="14">
        <v>5</v>
      </c>
      <c r="E220" s="14">
        <v>0</v>
      </c>
      <c r="F220" s="14">
        <v>6</v>
      </c>
      <c r="G220" s="14">
        <v>0</v>
      </c>
      <c r="H220" s="14">
        <v>10</v>
      </c>
      <c r="I220" s="14">
        <v>0</v>
      </c>
      <c r="J220" s="14">
        <v>12</v>
      </c>
      <c r="K220" s="14">
        <v>0</v>
      </c>
      <c r="L220" s="14">
        <v>0</v>
      </c>
      <c r="M220" s="14">
        <v>0</v>
      </c>
      <c r="N220" s="14"/>
      <c r="O220" s="14"/>
      <c r="P220" s="22">
        <f t="shared" si="11"/>
        <v>33</v>
      </c>
      <c r="Q220" s="14">
        <f ca="1">P220-IFERROR(SMALL(D220:INDIRECT(ADDRESS(ROW(),4+Settings[Value])), 1),0)-IFERROR(SMALL(D220:INDIRECT(ADDRESS(ROW(),4+Settings[Value])),2),0)</f>
        <v>33</v>
      </c>
    </row>
    <row r="221" spans="1:17" x14ac:dyDescent="0.2">
      <c r="A221" s="15" t="s">
        <v>309</v>
      </c>
      <c r="B221" s="15" t="s">
        <v>688</v>
      </c>
      <c r="C221" s="18" t="s">
        <v>689</v>
      </c>
      <c r="D221" s="13">
        <v>6</v>
      </c>
      <c r="E221" s="13">
        <v>0</v>
      </c>
      <c r="F221" s="13">
        <v>0</v>
      </c>
      <c r="G221" s="13">
        <v>0</v>
      </c>
      <c r="H221" s="13">
        <v>0</v>
      </c>
      <c r="I221" s="13">
        <v>0</v>
      </c>
      <c r="J221" s="13">
        <v>0</v>
      </c>
      <c r="K221" s="13">
        <v>15</v>
      </c>
      <c r="L221" s="13">
        <v>0</v>
      </c>
      <c r="M221" s="13">
        <v>12</v>
      </c>
      <c r="N221" s="13"/>
      <c r="O221" s="13"/>
      <c r="P221" s="19">
        <f t="shared" si="11"/>
        <v>33</v>
      </c>
      <c r="Q221" s="13">
        <f ca="1">P221-IFERROR(SMALL(D221:INDIRECT(ADDRESS(ROW(),4+Settings[Value])), 1),0)-IFERROR(SMALL(D221:INDIRECT(ADDRESS(ROW(),4+Settings[Value])),2),0)</f>
        <v>33</v>
      </c>
    </row>
    <row r="222" spans="1:17" x14ac:dyDescent="0.2">
      <c r="A222" s="15" t="s">
        <v>883</v>
      </c>
      <c r="B222" s="15" t="s">
        <v>114</v>
      </c>
      <c r="C222" s="18" t="s">
        <v>448</v>
      </c>
      <c r="D222" s="13">
        <v>0</v>
      </c>
      <c r="E222" s="13">
        <v>0</v>
      </c>
      <c r="F222" s="13">
        <v>9</v>
      </c>
      <c r="G222" s="13">
        <v>0</v>
      </c>
      <c r="H222" s="13">
        <v>0</v>
      </c>
      <c r="I222" s="13">
        <v>0</v>
      </c>
      <c r="J222" s="13">
        <v>15</v>
      </c>
      <c r="K222" s="13">
        <v>0</v>
      </c>
      <c r="L222" s="13">
        <v>0</v>
      </c>
      <c r="M222" s="13">
        <v>0</v>
      </c>
      <c r="N222" s="13"/>
      <c r="O222" s="13"/>
      <c r="P222" s="19">
        <f t="shared" si="11"/>
        <v>24</v>
      </c>
      <c r="Q222" s="13">
        <f ca="1">P222-IFERROR(SMALL(D222:INDIRECT(ADDRESS(ROW(),4+Settings[Value])), 1),0)-IFERROR(SMALL(D222:INDIRECT(ADDRESS(ROW(),4+Settings[Value])),2),0)</f>
        <v>24</v>
      </c>
    </row>
    <row r="223" spans="1:17" x14ac:dyDescent="0.2">
      <c r="A223" s="15" t="s">
        <v>880</v>
      </c>
      <c r="B223" s="15" t="s">
        <v>881</v>
      </c>
      <c r="C223" s="18" t="s">
        <v>313</v>
      </c>
      <c r="D223" s="13">
        <v>0</v>
      </c>
      <c r="E223" s="13">
        <v>0</v>
      </c>
      <c r="F223" s="13">
        <v>10</v>
      </c>
      <c r="G223" s="13">
        <v>0</v>
      </c>
      <c r="H223" s="13">
        <v>13</v>
      </c>
      <c r="I223" s="13">
        <v>0</v>
      </c>
      <c r="J223" s="13">
        <v>0</v>
      </c>
      <c r="K223" s="13">
        <v>0</v>
      </c>
      <c r="L223" s="13">
        <v>0</v>
      </c>
      <c r="M223" s="13">
        <v>0</v>
      </c>
      <c r="N223" s="13"/>
      <c r="O223" s="13"/>
      <c r="P223" s="19">
        <f t="shared" si="11"/>
        <v>23</v>
      </c>
      <c r="Q223" s="14">
        <f ca="1">P223-IFERROR(SMALL(D223:INDIRECT(ADDRESS(ROW(),4+Settings[Value])), 1),0)-IFERROR(SMALL(D223:INDIRECT(ADDRESS(ROW(),4+Settings[Value])),2),0)</f>
        <v>23</v>
      </c>
    </row>
    <row r="224" spans="1:17" x14ac:dyDescent="0.2">
      <c r="A224" s="15" t="s">
        <v>885</v>
      </c>
      <c r="B224" s="15" t="s">
        <v>851</v>
      </c>
      <c r="C224" s="18" t="s">
        <v>275</v>
      </c>
      <c r="D224" s="14">
        <v>0</v>
      </c>
      <c r="E224" s="14">
        <v>0</v>
      </c>
      <c r="F224" s="14">
        <v>8</v>
      </c>
      <c r="G224" s="14">
        <v>0</v>
      </c>
      <c r="H224" s="14">
        <v>11</v>
      </c>
      <c r="I224" s="14">
        <v>0</v>
      </c>
      <c r="J224" s="14">
        <v>0</v>
      </c>
      <c r="K224" s="14">
        <v>0</v>
      </c>
      <c r="L224" s="14">
        <v>0</v>
      </c>
      <c r="M224" s="14">
        <v>0</v>
      </c>
      <c r="N224" s="14"/>
      <c r="O224" s="14"/>
      <c r="P224" s="22">
        <f t="shared" si="11"/>
        <v>19</v>
      </c>
      <c r="Q224" s="14">
        <f ca="1">P224-IFERROR(SMALL(D224:INDIRECT(ADDRESS(ROW(),4+Settings[Value])), 1),0)-IFERROR(SMALL(D224:INDIRECT(ADDRESS(ROW(),4+Settings[Value])),2),0)</f>
        <v>19</v>
      </c>
    </row>
    <row r="225" spans="1:17" x14ac:dyDescent="0.2">
      <c r="A225" s="15" t="s">
        <v>1087</v>
      </c>
      <c r="B225" s="15" t="s">
        <v>1088</v>
      </c>
      <c r="C225" s="18" t="s">
        <v>222</v>
      </c>
      <c r="D225" s="13">
        <v>0</v>
      </c>
      <c r="E225" s="13">
        <v>0</v>
      </c>
      <c r="F225" s="13">
        <v>0</v>
      </c>
      <c r="G225" s="13">
        <v>18</v>
      </c>
      <c r="H225" s="13">
        <v>0</v>
      </c>
      <c r="I225" s="13">
        <v>0</v>
      </c>
      <c r="J225" s="13">
        <v>0</v>
      </c>
      <c r="K225" s="13">
        <v>0</v>
      </c>
      <c r="L225" s="13">
        <v>0</v>
      </c>
      <c r="M225" s="13">
        <v>0</v>
      </c>
      <c r="N225" s="13"/>
      <c r="O225" s="13"/>
      <c r="P225" s="19">
        <f t="shared" si="11"/>
        <v>18</v>
      </c>
      <c r="Q225" s="19">
        <f ca="1">P225-IFERROR(SMALL(D225:INDIRECT(ADDRESS(ROW(),4+Settings[Value])), 1),0)-IFERROR(SMALL(D225:INDIRECT(ADDRESS(ROW(),4+Settings[Value])),2),0)</f>
        <v>18</v>
      </c>
    </row>
    <row r="226" spans="1:17" x14ac:dyDescent="0.2">
      <c r="A226" s="15" t="s">
        <v>1738</v>
      </c>
      <c r="B226" s="15" t="s">
        <v>1739</v>
      </c>
      <c r="C226" s="18" t="s">
        <v>389</v>
      </c>
      <c r="D226" s="13">
        <v>0</v>
      </c>
      <c r="E226" s="13">
        <v>0</v>
      </c>
      <c r="F226" s="13">
        <v>0</v>
      </c>
      <c r="G226" s="13">
        <v>0</v>
      </c>
      <c r="H226" s="13">
        <v>0</v>
      </c>
      <c r="I226" s="13">
        <v>0</v>
      </c>
      <c r="J226" s="13">
        <v>0</v>
      </c>
      <c r="K226" s="13">
        <v>18</v>
      </c>
      <c r="L226" s="13">
        <v>0</v>
      </c>
      <c r="M226" s="13">
        <v>0</v>
      </c>
      <c r="N226" s="13"/>
      <c r="O226" s="13"/>
      <c r="P226" s="19">
        <f t="shared" si="11"/>
        <v>18</v>
      </c>
      <c r="Q226" s="19">
        <f ca="1">P226-IFERROR(SMALL(D226:INDIRECT(ADDRESS(ROW(),4+Settings[Value])), 1),0)-IFERROR(SMALL(D226:INDIRECT(ADDRESS(ROW(),4+Settings[Value])),2),0)</f>
        <v>18</v>
      </c>
    </row>
    <row r="227" spans="1:17" x14ac:dyDescent="0.2">
      <c r="A227" s="15" t="s">
        <v>372</v>
      </c>
      <c r="B227" s="15" t="s">
        <v>278</v>
      </c>
      <c r="C227" s="18" t="s">
        <v>267</v>
      </c>
      <c r="D227" s="13">
        <v>0</v>
      </c>
      <c r="E227" s="13">
        <v>0</v>
      </c>
      <c r="F227" s="13">
        <v>0</v>
      </c>
      <c r="G227" s="13">
        <v>0</v>
      </c>
      <c r="H227" s="13">
        <v>0</v>
      </c>
      <c r="I227" s="13">
        <v>0</v>
      </c>
      <c r="J227" s="13">
        <v>0</v>
      </c>
      <c r="K227" s="13">
        <v>0</v>
      </c>
      <c r="L227" s="13">
        <v>18</v>
      </c>
      <c r="M227" s="13">
        <v>0</v>
      </c>
      <c r="N227" s="13"/>
      <c r="O227" s="13"/>
      <c r="P227" s="19">
        <f t="shared" si="11"/>
        <v>18</v>
      </c>
      <c r="Q227" s="19">
        <f ca="1">P227-IFERROR(SMALL(D227:INDIRECT(ADDRESS(ROW(),4+Settings[Value])), 1),0)-IFERROR(SMALL(D227:INDIRECT(ADDRESS(ROW(),4+Settings[Value])),2),0)</f>
        <v>18</v>
      </c>
    </row>
    <row r="228" spans="1:17" x14ac:dyDescent="0.2">
      <c r="A228" s="15" t="s">
        <v>826</v>
      </c>
      <c r="B228" s="15" t="s">
        <v>383</v>
      </c>
      <c r="C228" s="18" t="s">
        <v>222</v>
      </c>
      <c r="D228" s="13">
        <v>0</v>
      </c>
      <c r="E228" s="13">
        <v>0</v>
      </c>
      <c r="F228" s="13">
        <v>0</v>
      </c>
      <c r="G228" s="13">
        <v>17</v>
      </c>
      <c r="H228" s="13">
        <v>0</v>
      </c>
      <c r="I228" s="13">
        <v>0</v>
      </c>
      <c r="J228" s="13">
        <v>0</v>
      </c>
      <c r="K228" s="13">
        <v>0</v>
      </c>
      <c r="L228" s="13">
        <v>0</v>
      </c>
      <c r="M228" s="13">
        <v>0</v>
      </c>
      <c r="N228" s="13"/>
      <c r="O228" s="13"/>
      <c r="P228" s="19">
        <f t="shared" si="11"/>
        <v>17</v>
      </c>
      <c r="Q228" s="19">
        <f ca="1">P228-IFERROR(SMALL(D228:INDIRECT(ADDRESS(ROW(),4+Settings[Value])), 1),0)-IFERROR(SMALL(D228:INDIRECT(ADDRESS(ROW(),4+Settings[Value])),2),0)</f>
        <v>17</v>
      </c>
    </row>
    <row r="229" spans="1:17" x14ac:dyDescent="0.2">
      <c r="A229" s="15" t="s">
        <v>280</v>
      </c>
      <c r="B229" s="15" t="s">
        <v>281</v>
      </c>
      <c r="C229" s="18" t="s">
        <v>275</v>
      </c>
      <c r="D229" s="13">
        <v>16</v>
      </c>
      <c r="E229" s="13">
        <v>0</v>
      </c>
      <c r="F229" s="13">
        <v>0</v>
      </c>
      <c r="G229" s="13">
        <v>0</v>
      </c>
      <c r="H229" s="13">
        <v>0</v>
      </c>
      <c r="I229" s="13">
        <v>0</v>
      </c>
      <c r="J229" s="13">
        <v>0</v>
      </c>
      <c r="K229" s="13">
        <v>0</v>
      </c>
      <c r="L229" s="13">
        <v>0</v>
      </c>
      <c r="M229" s="13">
        <v>0</v>
      </c>
      <c r="N229" s="13"/>
      <c r="O229" s="13"/>
      <c r="P229" s="13">
        <f t="shared" si="11"/>
        <v>16</v>
      </c>
      <c r="Q229" s="13">
        <f ca="1">P229-IFERROR(SMALL(D229:INDIRECT(ADDRESS(ROW(),4+Settings[Value])), 1),0)-IFERROR(SMALL(D229:INDIRECT(ADDRESS(ROW(),4+Settings[Value])),2),0)</f>
        <v>16</v>
      </c>
    </row>
    <row r="230" spans="1:17" x14ac:dyDescent="0.2">
      <c r="A230" s="15" t="s">
        <v>627</v>
      </c>
      <c r="B230" s="15" t="s">
        <v>318</v>
      </c>
      <c r="C230" s="18" t="s">
        <v>345</v>
      </c>
      <c r="D230" s="13">
        <v>0</v>
      </c>
      <c r="E230" s="13">
        <v>16</v>
      </c>
      <c r="F230" s="13">
        <v>0</v>
      </c>
      <c r="G230" s="13">
        <v>0</v>
      </c>
      <c r="H230" s="13">
        <v>0</v>
      </c>
      <c r="I230" s="13">
        <v>0</v>
      </c>
      <c r="J230" s="13">
        <v>0</v>
      </c>
      <c r="K230" s="13">
        <v>0</v>
      </c>
      <c r="L230" s="13">
        <v>0</v>
      </c>
      <c r="M230" s="13">
        <v>0</v>
      </c>
      <c r="N230" s="13"/>
      <c r="O230" s="13"/>
      <c r="P230" s="19">
        <f t="shared" si="11"/>
        <v>16</v>
      </c>
      <c r="Q230" s="13">
        <f ca="1">P230-IFERROR(SMALL(D230:INDIRECT(ADDRESS(ROW(),4+Settings[Value])), 1),0)-IFERROR(SMALL(D230:INDIRECT(ADDRESS(ROW(),4+Settings[Value])),2),0)</f>
        <v>16</v>
      </c>
    </row>
    <row r="231" spans="1:17" x14ac:dyDescent="0.2">
      <c r="A231" s="15" t="s">
        <v>106</v>
      </c>
      <c r="B231" s="15" t="s">
        <v>221</v>
      </c>
      <c r="C231" s="18" t="s">
        <v>100</v>
      </c>
      <c r="D231" s="13">
        <v>0</v>
      </c>
      <c r="E231" s="13">
        <v>0</v>
      </c>
      <c r="F231" s="13">
        <v>0</v>
      </c>
      <c r="G231" s="13">
        <v>16</v>
      </c>
      <c r="H231" s="13">
        <v>0</v>
      </c>
      <c r="I231" s="13">
        <v>0</v>
      </c>
      <c r="J231" s="13">
        <v>0</v>
      </c>
      <c r="K231" s="13">
        <v>0</v>
      </c>
      <c r="L231" s="13">
        <v>0</v>
      </c>
      <c r="M231" s="13">
        <v>0</v>
      </c>
      <c r="N231" s="13"/>
      <c r="O231" s="13"/>
      <c r="P231" s="19">
        <f t="shared" si="11"/>
        <v>16</v>
      </c>
      <c r="Q231" s="19">
        <f ca="1">P231-IFERROR(SMALL(D231:INDIRECT(ADDRESS(ROW(),4+Settings[Value])), 1),0)-IFERROR(SMALL(D231:INDIRECT(ADDRESS(ROW(),4+Settings[Value])),2),0)</f>
        <v>16</v>
      </c>
    </row>
    <row r="232" spans="1:17" x14ac:dyDescent="0.2">
      <c r="A232" s="15" t="s">
        <v>630</v>
      </c>
      <c r="B232" s="15" t="s">
        <v>511</v>
      </c>
      <c r="C232" s="18" t="s">
        <v>345</v>
      </c>
      <c r="D232" s="13">
        <v>0</v>
      </c>
      <c r="E232" s="13">
        <v>14</v>
      </c>
      <c r="F232" s="13">
        <v>1</v>
      </c>
      <c r="G232" s="13">
        <v>0</v>
      </c>
      <c r="H232" s="13">
        <v>0</v>
      </c>
      <c r="I232" s="13">
        <v>0</v>
      </c>
      <c r="J232" s="13">
        <v>0</v>
      </c>
      <c r="K232" s="13">
        <v>0</v>
      </c>
      <c r="L232" s="13">
        <v>0</v>
      </c>
      <c r="M232" s="13">
        <v>0</v>
      </c>
      <c r="N232" s="13"/>
      <c r="O232" s="13"/>
      <c r="P232" s="19">
        <f t="shared" si="11"/>
        <v>15</v>
      </c>
      <c r="Q232" s="13">
        <f ca="1">P232-IFERROR(SMALL(D232:INDIRECT(ADDRESS(ROW(),4+Settings[Value])), 1),0)-IFERROR(SMALL(D232:INDIRECT(ADDRESS(ROW(),4+Settings[Value])),2),0)</f>
        <v>15</v>
      </c>
    </row>
    <row r="233" spans="1:17" x14ac:dyDescent="0.2">
      <c r="A233" s="15" t="s">
        <v>1175</v>
      </c>
      <c r="B233" s="15" t="s">
        <v>1176</v>
      </c>
      <c r="C233" s="18" t="s">
        <v>275</v>
      </c>
      <c r="D233" s="13">
        <v>0</v>
      </c>
      <c r="E233" s="13">
        <v>0</v>
      </c>
      <c r="F233" s="13">
        <v>0</v>
      </c>
      <c r="G233" s="13">
        <v>0</v>
      </c>
      <c r="H233" s="13">
        <v>14</v>
      </c>
      <c r="I233" s="13">
        <v>0</v>
      </c>
      <c r="J233" s="13">
        <v>0</v>
      </c>
      <c r="K233" s="13">
        <v>0</v>
      </c>
      <c r="L233" s="13">
        <v>0</v>
      </c>
      <c r="M233" s="13">
        <v>0</v>
      </c>
      <c r="N233" s="13"/>
      <c r="O233" s="13"/>
      <c r="P233" s="19">
        <f t="shared" si="11"/>
        <v>14</v>
      </c>
      <c r="Q233" s="19">
        <f ca="1">P233-IFERROR(SMALL(D233:INDIRECT(ADDRESS(ROW(),4+Settings[Value])), 1),0)-IFERROR(SMALL(D233:INDIRECT(ADDRESS(ROW(),4+Settings[Value])),2),0)</f>
        <v>14</v>
      </c>
    </row>
    <row r="234" spans="1:17" x14ac:dyDescent="0.2">
      <c r="A234" s="15" t="s">
        <v>875</v>
      </c>
      <c r="B234" s="15" t="s">
        <v>1005</v>
      </c>
      <c r="C234" s="18" t="s">
        <v>38</v>
      </c>
      <c r="D234" s="13">
        <v>0</v>
      </c>
      <c r="E234" s="13">
        <v>0</v>
      </c>
      <c r="F234" s="13">
        <v>13</v>
      </c>
      <c r="G234" s="13">
        <v>0</v>
      </c>
      <c r="H234" s="13">
        <v>0</v>
      </c>
      <c r="I234" s="13">
        <v>0</v>
      </c>
      <c r="J234" s="13">
        <v>0</v>
      </c>
      <c r="K234" s="13">
        <v>0</v>
      </c>
      <c r="L234" s="13">
        <v>0</v>
      </c>
      <c r="M234" s="13">
        <v>0</v>
      </c>
      <c r="N234" s="13"/>
      <c r="O234" s="13"/>
      <c r="P234" s="19">
        <f t="shared" si="11"/>
        <v>13</v>
      </c>
      <c r="Q234" s="13">
        <f ca="1">P234-IFERROR(SMALL(D234:INDIRECT(ADDRESS(ROW(),4+Settings[Value])), 1),0)-IFERROR(SMALL(D234:INDIRECT(ADDRESS(ROW(),4+Settings[Value])),2),0)</f>
        <v>13</v>
      </c>
    </row>
    <row r="235" spans="1:17" x14ac:dyDescent="0.2">
      <c r="A235" s="15" t="s">
        <v>1095</v>
      </c>
      <c r="B235" s="15" t="s">
        <v>1096</v>
      </c>
      <c r="C235" s="18" t="s">
        <v>222</v>
      </c>
      <c r="D235" s="13">
        <v>0</v>
      </c>
      <c r="E235" s="13">
        <v>0</v>
      </c>
      <c r="F235" s="13">
        <v>0</v>
      </c>
      <c r="G235" s="13">
        <v>13</v>
      </c>
      <c r="H235" s="13">
        <v>0</v>
      </c>
      <c r="I235" s="13">
        <v>0</v>
      </c>
      <c r="J235" s="13">
        <v>0</v>
      </c>
      <c r="K235" s="13">
        <v>0</v>
      </c>
      <c r="L235" s="13">
        <v>0</v>
      </c>
      <c r="M235" s="13">
        <v>0</v>
      </c>
      <c r="N235" s="13"/>
      <c r="O235" s="13"/>
      <c r="P235" s="19">
        <f t="shared" si="11"/>
        <v>13</v>
      </c>
      <c r="Q235" s="19">
        <f ca="1">P235-IFERROR(SMALL(D235:INDIRECT(ADDRESS(ROW(),4+Settings[Value])), 1),0)-IFERROR(SMALL(D235:INDIRECT(ADDRESS(ROW(),4+Settings[Value])),2),0)</f>
        <v>13</v>
      </c>
    </row>
    <row r="236" spans="1:17" x14ac:dyDescent="0.2">
      <c r="A236" s="15" t="s">
        <v>115</v>
      </c>
      <c r="B236" s="15" t="s">
        <v>281</v>
      </c>
      <c r="C236" s="18" t="s">
        <v>100</v>
      </c>
      <c r="D236" s="13">
        <v>0</v>
      </c>
      <c r="E236" s="13">
        <v>0</v>
      </c>
      <c r="F236" s="13">
        <v>0</v>
      </c>
      <c r="G236" s="13">
        <v>0</v>
      </c>
      <c r="H236" s="13">
        <v>0</v>
      </c>
      <c r="I236" s="13">
        <v>0</v>
      </c>
      <c r="J236" s="13">
        <v>0</v>
      </c>
      <c r="K236" s="13">
        <v>0</v>
      </c>
      <c r="L236" s="13">
        <v>13</v>
      </c>
      <c r="M236" s="13">
        <v>0</v>
      </c>
      <c r="N236" s="13"/>
      <c r="O236" s="13"/>
      <c r="P236" s="19">
        <f t="shared" si="11"/>
        <v>13</v>
      </c>
      <c r="Q236" s="19">
        <f ca="1">P236-IFERROR(SMALL(D236:INDIRECT(ADDRESS(ROW(),4+Settings[Value])), 1),0)-IFERROR(SMALL(D236:INDIRECT(ADDRESS(ROW(),4+Settings[Value])),2),0)</f>
        <v>13</v>
      </c>
    </row>
    <row r="237" spans="1:17" x14ac:dyDescent="0.2">
      <c r="A237" s="15" t="s">
        <v>301</v>
      </c>
      <c r="B237" s="15" t="s">
        <v>174</v>
      </c>
      <c r="C237" s="18" t="s">
        <v>18</v>
      </c>
      <c r="D237" s="13">
        <v>9</v>
      </c>
      <c r="E237" s="13">
        <v>0</v>
      </c>
      <c r="F237" s="13">
        <v>0</v>
      </c>
      <c r="G237" s="13">
        <v>0</v>
      </c>
      <c r="H237" s="13">
        <v>0</v>
      </c>
      <c r="I237" s="13">
        <v>0</v>
      </c>
      <c r="J237" s="13">
        <v>0</v>
      </c>
      <c r="K237" s="13">
        <v>0</v>
      </c>
      <c r="L237" s="13">
        <v>0</v>
      </c>
      <c r="M237" s="13">
        <v>0</v>
      </c>
      <c r="N237" s="13"/>
      <c r="O237" s="13"/>
      <c r="P237" s="13">
        <f t="shared" si="11"/>
        <v>9</v>
      </c>
      <c r="Q237" s="13">
        <f ca="1">P237-IFERROR(SMALL(D237:INDIRECT(ADDRESS(ROW(),4+Settings[Value])), 1),0)-IFERROR(SMALL(D237:INDIRECT(ADDRESS(ROW(),4+Settings[Value])),2),0)</f>
        <v>9</v>
      </c>
    </row>
    <row r="238" spans="1:17" x14ac:dyDescent="0.2">
      <c r="A238" s="15" t="s">
        <v>98</v>
      </c>
      <c r="B238" s="15" t="s">
        <v>99</v>
      </c>
      <c r="C238" s="18" t="s">
        <v>100</v>
      </c>
      <c r="D238" s="13">
        <v>0</v>
      </c>
      <c r="E238" s="13">
        <v>0</v>
      </c>
      <c r="F238" s="13">
        <v>0</v>
      </c>
      <c r="G238" s="13">
        <v>7</v>
      </c>
      <c r="H238" s="13">
        <v>0</v>
      </c>
      <c r="I238" s="13">
        <v>0</v>
      </c>
      <c r="J238" s="13">
        <v>0</v>
      </c>
      <c r="K238" s="13">
        <v>0</v>
      </c>
      <c r="L238" s="13">
        <v>0</v>
      </c>
      <c r="M238" s="13">
        <v>0</v>
      </c>
      <c r="N238" s="13"/>
      <c r="O238" s="13"/>
      <c r="P238" s="19">
        <f t="shared" si="11"/>
        <v>7</v>
      </c>
      <c r="Q238" s="19">
        <f ca="1">P238-IFERROR(SMALL(D238:INDIRECT(ADDRESS(ROW(),4+Settings[Value])), 1),0)-IFERROR(SMALL(D238:INDIRECT(ADDRESS(ROW(),4+Settings[Value])),2),0)</f>
        <v>7</v>
      </c>
    </row>
    <row r="239" spans="1:17" x14ac:dyDescent="0.2">
      <c r="A239" s="15" t="s">
        <v>102</v>
      </c>
      <c r="B239" s="15" t="s">
        <v>174</v>
      </c>
      <c r="C239" s="18" t="s">
        <v>100</v>
      </c>
      <c r="D239" s="13">
        <v>0</v>
      </c>
      <c r="E239" s="13">
        <v>0</v>
      </c>
      <c r="F239" s="13">
        <v>0</v>
      </c>
      <c r="G239" s="13">
        <v>0</v>
      </c>
      <c r="H239" s="13">
        <v>5</v>
      </c>
      <c r="I239" s="13">
        <v>0</v>
      </c>
      <c r="J239" s="13">
        <v>0</v>
      </c>
      <c r="K239" s="13">
        <v>0</v>
      </c>
      <c r="L239" s="13">
        <v>0</v>
      </c>
      <c r="M239" s="13">
        <v>0</v>
      </c>
      <c r="N239" s="13"/>
      <c r="O239" s="13"/>
      <c r="P239" s="19">
        <f t="shared" si="11"/>
        <v>5</v>
      </c>
      <c r="Q239" s="19">
        <f ca="1">P239-IFERROR(SMALL(D239:INDIRECT(ADDRESS(ROW(),4+Settings[Value])), 1),0)-IFERROR(SMALL(D239:INDIRECT(ADDRESS(ROW(),4+Settings[Value])),2),0)</f>
        <v>5</v>
      </c>
    </row>
    <row r="240" spans="1:17" x14ac:dyDescent="0.2">
      <c r="A240" s="15" t="s">
        <v>317</v>
      </c>
      <c r="B240" s="15" t="s">
        <v>318</v>
      </c>
      <c r="C240" s="18" t="s">
        <v>44</v>
      </c>
      <c r="D240" s="13">
        <v>3</v>
      </c>
      <c r="E240" s="13">
        <v>0</v>
      </c>
      <c r="F240" s="13">
        <v>0</v>
      </c>
      <c r="G240" s="13">
        <v>0</v>
      </c>
      <c r="H240" s="13">
        <v>0</v>
      </c>
      <c r="I240" s="13">
        <v>0</v>
      </c>
      <c r="J240" s="13">
        <v>0</v>
      </c>
      <c r="K240" s="13">
        <v>0</v>
      </c>
      <c r="L240" s="13">
        <v>0</v>
      </c>
      <c r="M240" s="13">
        <v>0</v>
      </c>
      <c r="N240" s="13"/>
      <c r="O240" s="13"/>
      <c r="P240" s="13">
        <f t="shared" si="11"/>
        <v>3</v>
      </c>
      <c r="Q240" s="13">
        <f ca="1">P240-IFERROR(SMALL(D240:INDIRECT(ADDRESS(ROW(),4+Settings[Value])), 1),0)-IFERROR(SMALL(D240:INDIRECT(ADDRESS(ROW(),4+Settings[Value])),2),0)</f>
        <v>3</v>
      </c>
    </row>
    <row r="241" spans="1:17" ht="13.5" thickBot="1" x14ac:dyDescent="0.25">
      <c r="A241" s="10" t="s">
        <v>331</v>
      </c>
    </row>
    <row r="242" spans="1:17" ht="13.5" thickTop="1" x14ac:dyDescent="0.2">
      <c r="A242" s="11" t="s">
        <v>1</v>
      </c>
      <c r="B242" s="11" t="s">
        <v>2</v>
      </c>
      <c r="C242" s="11" t="s">
        <v>3</v>
      </c>
      <c r="D242" s="12" t="s">
        <v>461</v>
      </c>
      <c r="E242" s="12" t="s">
        <v>462</v>
      </c>
      <c r="F242" s="12" t="s">
        <v>463</v>
      </c>
      <c r="G242" s="12" t="s">
        <v>464</v>
      </c>
      <c r="H242" s="12" t="s">
        <v>465</v>
      </c>
      <c r="I242" s="12" t="s">
        <v>466</v>
      </c>
      <c r="J242" s="12" t="s">
        <v>467</v>
      </c>
      <c r="K242" s="12" t="s">
        <v>468</v>
      </c>
      <c r="L242" s="12" t="s">
        <v>469</v>
      </c>
      <c r="M242" s="12" t="s">
        <v>470</v>
      </c>
      <c r="N242" s="12" t="s">
        <v>471</v>
      </c>
      <c r="O242" s="12" t="s">
        <v>472</v>
      </c>
      <c r="P242" s="12" t="s">
        <v>460</v>
      </c>
      <c r="Q242" s="12" t="s">
        <v>500</v>
      </c>
    </row>
    <row r="243" spans="1:17" x14ac:dyDescent="0.2">
      <c r="A243" s="15" t="s">
        <v>329</v>
      </c>
      <c r="B243" s="15" t="s">
        <v>330</v>
      </c>
      <c r="C243" s="18" t="s">
        <v>441</v>
      </c>
      <c r="D243" s="13">
        <v>20</v>
      </c>
      <c r="E243" s="13">
        <v>20</v>
      </c>
      <c r="F243" s="13">
        <v>0</v>
      </c>
      <c r="G243" s="13">
        <v>0</v>
      </c>
      <c r="H243" s="13">
        <v>20</v>
      </c>
      <c r="I243" s="13">
        <v>20</v>
      </c>
      <c r="J243" s="13">
        <v>20</v>
      </c>
      <c r="K243" s="13">
        <v>20</v>
      </c>
      <c r="L243" s="13">
        <v>20</v>
      </c>
      <c r="M243" s="13">
        <v>20</v>
      </c>
      <c r="N243" s="13"/>
      <c r="O243" s="13"/>
      <c r="P243" s="13">
        <f t="shared" ref="P243:P259" si="12">SUM(D243:O243)</f>
        <v>160</v>
      </c>
      <c r="Q243" s="14">
        <f ca="1">P243-IFERROR(SMALL(D243:INDIRECT(ADDRESS(ROW(),4+Settings[Value])), 1),0)-IFERROR(SMALL(D243:INDIRECT(ADDRESS(ROW(),4+Settings[Value])),2),0)</f>
        <v>160</v>
      </c>
    </row>
    <row r="244" spans="1:17" x14ac:dyDescent="0.2">
      <c r="A244" s="15" t="s">
        <v>6</v>
      </c>
      <c r="B244" s="15" t="s">
        <v>341</v>
      </c>
      <c r="C244" s="18" t="s">
        <v>8</v>
      </c>
      <c r="D244" s="13">
        <v>16</v>
      </c>
      <c r="E244" s="13">
        <v>17</v>
      </c>
      <c r="F244" s="13">
        <v>17</v>
      </c>
      <c r="G244" s="13">
        <v>18</v>
      </c>
      <c r="H244" s="13">
        <v>17</v>
      </c>
      <c r="I244" s="13">
        <v>18</v>
      </c>
      <c r="J244" s="13">
        <v>17</v>
      </c>
      <c r="K244" s="13">
        <v>19</v>
      </c>
      <c r="L244" s="13">
        <v>18</v>
      </c>
      <c r="M244" s="13">
        <v>0</v>
      </c>
      <c r="N244" s="13"/>
      <c r="O244" s="13"/>
      <c r="P244" s="13">
        <f t="shared" si="12"/>
        <v>157</v>
      </c>
      <c r="Q244" s="9">
        <f ca="1">P244-IFERROR(SMALL(D244:INDIRECT(ADDRESS(ROW(),4+Settings[Value])), 1),0)-IFERROR(SMALL(D244:INDIRECT(ADDRESS(ROW(),4+Settings[Value])),2),0)</f>
        <v>141</v>
      </c>
    </row>
    <row r="245" spans="1:17" x14ac:dyDescent="0.2">
      <c r="A245" s="15" t="s">
        <v>351</v>
      </c>
      <c r="B245" s="15" t="s">
        <v>352</v>
      </c>
      <c r="C245" s="18" t="s">
        <v>38</v>
      </c>
      <c r="D245" s="14">
        <v>13</v>
      </c>
      <c r="E245" s="14">
        <v>14</v>
      </c>
      <c r="F245" s="14">
        <v>13</v>
      </c>
      <c r="G245" s="14">
        <v>16</v>
      </c>
      <c r="H245" s="14">
        <v>16</v>
      </c>
      <c r="I245" s="14">
        <v>16</v>
      </c>
      <c r="J245" s="14">
        <v>15</v>
      </c>
      <c r="K245" s="14">
        <v>18</v>
      </c>
      <c r="L245" s="14">
        <v>17</v>
      </c>
      <c r="M245" s="14">
        <v>15</v>
      </c>
      <c r="N245" s="14"/>
      <c r="O245" s="14"/>
      <c r="P245" s="13">
        <f t="shared" si="12"/>
        <v>153</v>
      </c>
      <c r="Q245" s="14">
        <f ca="1">P245-IFERROR(SMALL(D245:INDIRECT(ADDRESS(ROW(),4+Settings[Value])), 1),0)-IFERROR(SMALL(D245:INDIRECT(ADDRESS(ROW(),4+Settings[Value])),2),0)</f>
        <v>127</v>
      </c>
    </row>
    <row r="246" spans="1:17" x14ac:dyDescent="0.2">
      <c r="A246" s="15" t="s">
        <v>332</v>
      </c>
      <c r="B246" s="15" t="s">
        <v>333</v>
      </c>
      <c r="C246" s="18" t="s">
        <v>38</v>
      </c>
      <c r="D246" s="14">
        <v>19</v>
      </c>
      <c r="E246" s="14">
        <v>0</v>
      </c>
      <c r="F246" s="14">
        <v>19</v>
      </c>
      <c r="G246" s="14">
        <v>20</v>
      </c>
      <c r="H246" s="14">
        <v>19</v>
      </c>
      <c r="I246" s="14">
        <v>19</v>
      </c>
      <c r="J246" s="14">
        <v>0</v>
      </c>
      <c r="K246" s="14">
        <v>0</v>
      </c>
      <c r="L246" s="14">
        <v>0</v>
      </c>
      <c r="M246" s="14">
        <v>0</v>
      </c>
      <c r="N246" s="14"/>
      <c r="O246" s="14"/>
      <c r="P246" s="13">
        <f t="shared" si="12"/>
        <v>96</v>
      </c>
      <c r="Q246" s="14">
        <f ca="1">P246-IFERROR(SMALL(D246:INDIRECT(ADDRESS(ROW(),4+Settings[Value])), 1),0)-IFERROR(SMALL(D246:INDIRECT(ADDRESS(ROW(),4+Settings[Value])),2),0)</f>
        <v>96</v>
      </c>
    </row>
    <row r="247" spans="1:17" x14ac:dyDescent="0.2">
      <c r="A247" s="15" t="s">
        <v>356</v>
      </c>
      <c r="B247" s="15" t="s">
        <v>357</v>
      </c>
      <c r="C247" s="18" t="s">
        <v>100</v>
      </c>
      <c r="D247" s="14">
        <v>11</v>
      </c>
      <c r="E247" s="14">
        <v>13</v>
      </c>
      <c r="F247" s="14">
        <v>12</v>
      </c>
      <c r="G247" s="14">
        <v>17</v>
      </c>
      <c r="H247" s="14">
        <v>13</v>
      </c>
      <c r="I247" s="14">
        <v>0</v>
      </c>
      <c r="J247" s="14">
        <v>12</v>
      </c>
      <c r="K247" s="14">
        <v>0</v>
      </c>
      <c r="L247" s="14">
        <v>0</v>
      </c>
      <c r="M247" s="14">
        <v>0</v>
      </c>
      <c r="N247" s="14"/>
      <c r="O247" s="14"/>
      <c r="P247" s="13">
        <f t="shared" si="12"/>
        <v>78</v>
      </c>
      <c r="Q247" s="14">
        <f ca="1">P247-IFERROR(SMALL(D247:INDIRECT(ADDRESS(ROW(),4+Settings[Value])), 1),0)-IFERROR(SMALL(D247:INDIRECT(ADDRESS(ROW(),4+Settings[Value])),2),0)</f>
        <v>78</v>
      </c>
    </row>
    <row r="248" spans="1:17" x14ac:dyDescent="0.2">
      <c r="A248" s="15" t="s">
        <v>335</v>
      </c>
      <c r="B248" s="15" t="s">
        <v>336</v>
      </c>
      <c r="C248" s="18" t="s">
        <v>88</v>
      </c>
      <c r="D248" s="14">
        <v>18</v>
      </c>
      <c r="E248" s="14">
        <v>0</v>
      </c>
      <c r="F248" s="14">
        <v>0</v>
      </c>
      <c r="G248" s="14">
        <v>0</v>
      </c>
      <c r="H248" s="14">
        <v>18</v>
      </c>
      <c r="I248" s="14">
        <v>0</v>
      </c>
      <c r="J248" s="14">
        <v>18</v>
      </c>
      <c r="K248" s="14">
        <v>0</v>
      </c>
      <c r="L248" s="14">
        <v>0</v>
      </c>
      <c r="M248" s="14">
        <v>0</v>
      </c>
      <c r="N248" s="14"/>
      <c r="O248" s="14"/>
      <c r="P248" s="13">
        <f t="shared" si="12"/>
        <v>54</v>
      </c>
      <c r="Q248" s="14">
        <f ca="1">P248-IFERROR(SMALL(D248:INDIRECT(ADDRESS(ROW(),4+Settings[Value])), 1),0)-IFERROR(SMALL(D248:INDIRECT(ADDRESS(ROW(),4+Settings[Value])),2),0)</f>
        <v>54</v>
      </c>
    </row>
    <row r="249" spans="1:17" x14ac:dyDescent="0.2">
      <c r="A249" s="15" t="s">
        <v>883</v>
      </c>
      <c r="B249" s="15" t="s">
        <v>665</v>
      </c>
      <c r="C249" s="15" t="s">
        <v>448</v>
      </c>
      <c r="D249" s="13">
        <v>0</v>
      </c>
      <c r="E249" s="13">
        <v>0</v>
      </c>
      <c r="F249" s="13">
        <v>20</v>
      </c>
      <c r="G249" s="13">
        <v>0</v>
      </c>
      <c r="H249" s="13">
        <v>0</v>
      </c>
      <c r="I249" s="13">
        <v>0</v>
      </c>
      <c r="J249" s="13">
        <v>19</v>
      </c>
      <c r="K249" s="13">
        <v>0</v>
      </c>
      <c r="L249" s="13">
        <v>0</v>
      </c>
      <c r="M249" s="13">
        <v>0</v>
      </c>
      <c r="N249" s="13"/>
      <c r="O249" s="13"/>
      <c r="P249" s="13">
        <f t="shared" si="12"/>
        <v>39</v>
      </c>
      <c r="Q249" s="13">
        <f ca="1">P249-IFERROR(SMALL(D249:INDIRECT(ADDRESS(ROW(),4+Settings[Value])), 1),0)-IFERROR(SMALL(D249:INDIRECT(ADDRESS(ROW(),4+Settings[Value])),2),0)</f>
        <v>39</v>
      </c>
    </row>
    <row r="250" spans="1:17" x14ac:dyDescent="0.2">
      <c r="A250" s="15" t="s">
        <v>338</v>
      </c>
      <c r="B250" s="15" t="s">
        <v>339</v>
      </c>
      <c r="C250" s="18" t="s">
        <v>441</v>
      </c>
      <c r="D250" s="13">
        <v>17</v>
      </c>
      <c r="E250" s="13">
        <v>19</v>
      </c>
      <c r="F250" s="13">
        <v>0</v>
      </c>
      <c r="G250" s="13">
        <v>0</v>
      </c>
      <c r="H250" s="13">
        <v>0</v>
      </c>
      <c r="I250" s="13">
        <v>0</v>
      </c>
      <c r="J250" s="13">
        <v>0</v>
      </c>
      <c r="K250" s="13">
        <v>0</v>
      </c>
      <c r="L250" s="13">
        <v>0</v>
      </c>
      <c r="M250" s="13">
        <v>0</v>
      </c>
      <c r="N250" s="13"/>
      <c r="O250" s="13"/>
      <c r="P250" s="13">
        <f t="shared" si="12"/>
        <v>36</v>
      </c>
      <c r="Q250" s="14">
        <f ca="1">P250-IFERROR(SMALL(D250:INDIRECT(ADDRESS(ROW(),4+Settings[Value])), 1),0)-IFERROR(SMALL(D250:INDIRECT(ADDRESS(ROW(),4+Settings[Value])),2),0)</f>
        <v>36</v>
      </c>
    </row>
    <row r="251" spans="1:17" x14ac:dyDescent="0.2">
      <c r="A251" s="15" t="s">
        <v>354</v>
      </c>
      <c r="B251" s="15" t="s">
        <v>81</v>
      </c>
      <c r="C251" s="18" t="s">
        <v>91</v>
      </c>
      <c r="D251" s="14">
        <v>12</v>
      </c>
      <c r="E251" s="14">
        <v>12</v>
      </c>
      <c r="F251" s="14">
        <v>11</v>
      </c>
      <c r="G251" s="14">
        <v>0</v>
      </c>
      <c r="H251" s="14">
        <v>0</v>
      </c>
      <c r="I251" s="14">
        <v>0</v>
      </c>
      <c r="J251" s="14">
        <v>0</v>
      </c>
      <c r="K251" s="14">
        <v>0</v>
      </c>
      <c r="L251" s="14">
        <v>0</v>
      </c>
      <c r="M251" s="14">
        <v>0</v>
      </c>
      <c r="N251" s="14"/>
      <c r="O251" s="14"/>
      <c r="P251" s="13">
        <f t="shared" si="12"/>
        <v>35</v>
      </c>
      <c r="Q251" s="14">
        <f ca="1">P251-IFERROR(SMALL(D251:INDIRECT(ADDRESS(ROW(),4+Settings[Value])), 1),0)-IFERROR(SMALL(D251:INDIRECT(ADDRESS(ROW(),4+Settings[Value])),2),0)</f>
        <v>35</v>
      </c>
    </row>
    <row r="252" spans="1:17" x14ac:dyDescent="0.2">
      <c r="A252" s="15" t="s">
        <v>905</v>
      </c>
      <c r="B252" s="15" t="s">
        <v>67</v>
      </c>
      <c r="C252" s="15" t="s">
        <v>31</v>
      </c>
      <c r="D252" s="14">
        <v>0</v>
      </c>
      <c r="E252" s="14">
        <v>0</v>
      </c>
      <c r="F252" s="14">
        <v>15</v>
      </c>
      <c r="G252" s="14">
        <v>19</v>
      </c>
      <c r="H252" s="14">
        <v>0</v>
      </c>
      <c r="I252" s="14">
        <v>0</v>
      </c>
      <c r="J252" s="14">
        <v>0</v>
      </c>
      <c r="K252" s="14">
        <v>0</v>
      </c>
      <c r="L252" s="14">
        <v>0</v>
      </c>
      <c r="M252" s="14">
        <v>0</v>
      </c>
      <c r="N252" s="14"/>
      <c r="O252" s="14"/>
      <c r="P252" s="13">
        <f t="shared" si="12"/>
        <v>34</v>
      </c>
      <c r="Q252" s="14">
        <f ca="1">P252-IFERROR(SMALL(D252:INDIRECT(ADDRESS(ROW(),4+Settings[Value])), 1),0)-IFERROR(SMALL(D252:INDIRECT(ADDRESS(ROW(),4+Settings[Value])),2),0)</f>
        <v>34</v>
      </c>
    </row>
    <row r="253" spans="1:17" x14ac:dyDescent="0.2">
      <c r="A253" s="15" t="s">
        <v>343</v>
      </c>
      <c r="B253" s="15" t="s">
        <v>344</v>
      </c>
      <c r="C253" s="20" t="s">
        <v>345</v>
      </c>
      <c r="D253" s="13">
        <v>15</v>
      </c>
      <c r="E253" s="13">
        <v>18</v>
      </c>
      <c r="F253" s="13">
        <v>0</v>
      </c>
      <c r="G253" s="13">
        <v>0</v>
      </c>
      <c r="H253" s="13">
        <v>0</v>
      </c>
      <c r="I253" s="13">
        <v>0</v>
      </c>
      <c r="J253" s="13">
        <v>0</v>
      </c>
      <c r="K253" s="13">
        <v>0</v>
      </c>
      <c r="L253" s="13">
        <v>0</v>
      </c>
      <c r="M253" s="13">
        <v>0</v>
      </c>
      <c r="N253" s="13"/>
      <c r="O253" s="13"/>
      <c r="P253" s="13">
        <f t="shared" si="12"/>
        <v>33</v>
      </c>
      <c r="Q253" s="13">
        <f ca="1">P253-IFERROR(SMALL(D253:INDIRECT(ADDRESS(ROW(),4+Settings[Value])), 1),0)-IFERROR(SMALL(D253:INDIRECT(ADDRESS(ROW(),4+Settings[Value])),2),0)</f>
        <v>33</v>
      </c>
    </row>
    <row r="254" spans="1:17" x14ac:dyDescent="0.2">
      <c r="A254" s="15" t="s">
        <v>898</v>
      </c>
      <c r="B254" s="15" t="s">
        <v>899</v>
      </c>
      <c r="C254" s="8" t="s">
        <v>31</v>
      </c>
      <c r="D254" s="13">
        <v>0</v>
      </c>
      <c r="E254" s="13">
        <v>0</v>
      </c>
      <c r="F254" s="13">
        <v>18</v>
      </c>
      <c r="G254" s="13">
        <v>0</v>
      </c>
      <c r="H254" s="13">
        <v>0</v>
      </c>
      <c r="I254" s="13">
        <v>0</v>
      </c>
      <c r="J254" s="13">
        <v>0</v>
      </c>
      <c r="K254" s="13">
        <v>0</v>
      </c>
      <c r="L254" s="13">
        <v>0</v>
      </c>
      <c r="M254" s="13">
        <v>0</v>
      </c>
      <c r="N254" s="13"/>
      <c r="O254" s="13"/>
      <c r="P254" s="13">
        <f t="shared" si="12"/>
        <v>18</v>
      </c>
      <c r="Q254" s="13">
        <f ca="1">P254-IFERROR(SMALL(D254:INDIRECT(ADDRESS(ROW(),4+Settings[Value])), 1),0)-IFERROR(SMALL(D254:INDIRECT(ADDRESS(ROW(),4+Settings[Value])),2),0)</f>
        <v>18</v>
      </c>
    </row>
    <row r="255" spans="1:17" x14ac:dyDescent="0.2">
      <c r="A255" s="15" t="s">
        <v>2048</v>
      </c>
      <c r="B255" s="15" t="s">
        <v>1622</v>
      </c>
      <c r="C255" s="8" t="s">
        <v>313</v>
      </c>
      <c r="D255" s="13">
        <v>0</v>
      </c>
      <c r="E255" s="13">
        <v>0</v>
      </c>
      <c r="F255" s="13">
        <v>0</v>
      </c>
      <c r="G255" s="13">
        <v>0</v>
      </c>
      <c r="H255" s="13">
        <v>0</v>
      </c>
      <c r="I255" s="13">
        <v>0</v>
      </c>
      <c r="J255" s="13">
        <v>0</v>
      </c>
      <c r="K255" s="13">
        <v>0</v>
      </c>
      <c r="L255" s="13">
        <v>0</v>
      </c>
      <c r="M255" s="13">
        <v>18</v>
      </c>
      <c r="N255" s="13"/>
      <c r="O255" s="13"/>
      <c r="P255" s="13">
        <f t="shared" si="12"/>
        <v>18</v>
      </c>
      <c r="Q255" s="19">
        <f ca="1">P255-IFERROR(SMALL(D255:INDIRECT(ADDRESS(ROW(),4+Settings[Value])), 1),0)-IFERROR(SMALL(D255:INDIRECT(ADDRESS(ROW(),4+Settings[Value])),2),0)</f>
        <v>18</v>
      </c>
    </row>
    <row r="256" spans="1:17" x14ac:dyDescent="0.2">
      <c r="A256" s="15" t="s">
        <v>902</v>
      </c>
      <c r="B256" s="15" t="s">
        <v>903</v>
      </c>
      <c r="C256" s="8" t="s">
        <v>222</v>
      </c>
      <c r="D256" s="13">
        <v>0</v>
      </c>
      <c r="E256" s="13">
        <v>0</v>
      </c>
      <c r="F256" s="13">
        <v>16</v>
      </c>
      <c r="G256" s="13">
        <v>0</v>
      </c>
      <c r="H256" s="13">
        <v>0</v>
      </c>
      <c r="I256" s="13">
        <v>0</v>
      </c>
      <c r="J256" s="13">
        <v>0</v>
      </c>
      <c r="K256" s="13">
        <v>0</v>
      </c>
      <c r="L256" s="13">
        <v>0</v>
      </c>
      <c r="M256" s="13">
        <v>0</v>
      </c>
      <c r="N256" s="13"/>
      <c r="O256" s="13"/>
      <c r="P256" s="13">
        <f t="shared" si="12"/>
        <v>16</v>
      </c>
      <c r="Q256" s="13">
        <f ca="1">P256-IFERROR(SMALL(D256:INDIRECT(ADDRESS(ROW(),4+Settings[Value])), 1),0)-IFERROR(SMALL(D256:INDIRECT(ADDRESS(ROW(),4+Settings[Value])),2),0)</f>
        <v>16</v>
      </c>
    </row>
    <row r="257" spans="1:17" x14ac:dyDescent="0.2">
      <c r="A257" s="15" t="s">
        <v>1621</v>
      </c>
      <c r="B257" s="15" t="s">
        <v>1622</v>
      </c>
      <c r="C257" s="8" t="s">
        <v>38</v>
      </c>
      <c r="D257" s="13">
        <v>0</v>
      </c>
      <c r="E257" s="13">
        <v>0</v>
      </c>
      <c r="F257" s="13">
        <v>0</v>
      </c>
      <c r="G257" s="13">
        <v>0</v>
      </c>
      <c r="H257" s="13">
        <v>0</v>
      </c>
      <c r="I257" s="13">
        <v>0</v>
      </c>
      <c r="J257" s="13">
        <v>16</v>
      </c>
      <c r="K257" s="13">
        <v>0</v>
      </c>
      <c r="L257" s="13">
        <v>0</v>
      </c>
      <c r="M257" s="13">
        <v>0</v>
      </c>
      <c r="N257" s="13"/>
      <c r="O257" s="13"/>
      <c r="P257" s="13">
        <f t="shared" si="12"/>
        <v>16</v>
      </c>
      <c r="Q257" s="19">
        <f ca="1">P257-IFERROR(SMALL(D257:INDIRECT(ADDRESS(ROW(),4+Settings[Value])), 1),0)-IFERROR(SMALL(D257:INDIRECT(ADDRESS(ROW(),4+Settings[Value])),2),0)</f>
        <v>16</v>
      </c>
    </row>
    <row r="258" spans="1:17" x14ac:dyDescent="0.2">
      <c r="A258" s="15" t="s">
        <v>347</v>
      </c>
      <c r="B258" s="15" t="s">
        <v>348</v>
      </c>
      <c r="C258" s="20" t="s">
        <v>349</v>
      </c>
      <c r="D258" s="13">
        <v>14</v>
      </c>
      <c r="E258" s="13">
        <v>0</v>
      </c>
      <c r="F258" s="13">
        <v>0</v>
      </c>
      <c r="G258" s="13">
        <v>0</v>
      </c>
      <c r="H258" s="13">
        <v>0</v>
      </c>
      <c r="I258" s="13">
        <v>0</v>
      </c>
      <c r="J258" s="13">
        <v>0</v>
      </c>
      <c r="K258" s="13">
        <v>0</v>
      </c>
      <c r="L258" s="13">
        <v>0</v>
      </c>
      <c r="M258" s="13">
        <v>0</v>
      </c>
      <c r="N258" s="13"/>
      <c r="O258" s="13"/>
      <c r="P258" s="13">
        <f t="shared" si="12"/>
        <v>14</v>
      </c>
      <c r="Q258" s="13">
        <f ca="1">P258-IFERROR(SMALL(D258:INDIRECT(ADDRESS(ROW(),4+Settings[Value])), 1),0)-IFERROR(SMALL(D258:INDIRECT(ADDRESS(ROW(),4+Settings[Value])),2),0)</f>
        <v>14</v>
      </c>
    </row>
    <row r="259" spans="1:17" x14ac:dyDescent="0.2">
      <c r="A259" s="15" t="s">
        <v>906</v>
      </c>
      <c r="B259" s="15" t="s">
        <v>907</v>
      </c>
      <c r="C259" s="8" t="s">
        <v>31</v>
      </c>
      <c r="D259" s="13">
        <v>0</v>
      </c>
      <c r="E259" s="13">
        <v>0</v>
      </c>
      <c r="F259" s="13">
        <v>14</v>
      </c>
      <c r="G259" s="13">
        <v>0</v>
      </c>
      <c r="H259" s="13">
        <v>0</v>
      </c>
      <c r="I259" s="13">
        <v>0</v>
      </c>
      <c r="J259" s="13">
        <v>0</v>
      </c>
      <c r="K259" s="13">
        <v>0</v>
      </c>
      <c r="L259" s="13">
        <v>0</v>
      </c>
      <c r="M259" s="13">
        <v>0</v>
      </c>
      <c r="N259" s="13"/>
      <c r="O259" s="13"/>
      <c r="P259" s="13">
        <f t="shared" si="12"/>
        <v>14</v>
      </c>
      <c r="Q259" s="13">
        <f ca="1">P259-IFERROR(SMALL(D259:INDIRECT(ADDRESS(ROW(),4+Settings[Value])), 1),0)-IFERROR(SMALL(D259:INDIRECT(ADDRESS(ROW(),4+Settings[Value])),2),0)</f>
        <v>14</v>
      </c>
    </row>
    <row r="260" spans="1:17" x14ac:dyDescent="0.2">
      <c r="A260" s="16"/>
      <c r="B260" s="16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</row>
    <row r="261" spans="1:17" ht="13.5" thickBot="1" x14ac:dyDescent="0.25">
      <c r="A261" s="10" t="s">
        <v>363</v>
      </c>
    </row>
    <row r="262" spans="1:17" ht="13.5" thickTop="1" x14ac:dyDescent="0.2">
      <c r="A262" s="11" t="s">
        <v>1</v>
      </c>
      <c r="B262" s="11" t="s">
        <v>2</v>
      </c>
      <c r="C262" s="11" t="s">
        <v>3</v>
      </c>
      <c r="D262" s="12" t="s">
        <v>461</v>
      </c>
      <c r="E262" s="12" t="s">
        <v>462</v>
      </c>
      <c r="F262" s="12" t="s">
        <v>463</v>
      </c>
      <c r="G262" s="12" t="s">
        <v>464</v>
      </c>
      <c r="H262" s="12" t="s">
        <v>465</v>
      </c>
      <c r="I262" s="12" t="s">
        <v>466</v>
      </c>
      <c r="J262" s="12" t="s">
        <v>467</v>
      </c>
      <c r="K262" s="12" t="s">
        <v>468</v>
      </c>
      <c r="L262" s="12" t="s">
        <v>469</v>
      </c>
      <c r="M262" s="12" t="s">
        <v>470</v>
      </c>
      <c r="N262" s="12" t="s">
        <v>471</v>
      </c>
      <c r="O262" s="12" t="s">
        <v>472</v>
      </c>
      <c r="P262" s="12" t="s">
        <v>460</v>
      </c>
      <c r="Q262" s="12" t="s">
        <v>500</v>
      </c>
    </row>
    <row r="263" spans="1:17" x14ac:dyDescent="0.2">
      <c r="A263" s="15" t="s">
        <v>66</v>
      </c>
      <c r="B263" s="15" t="s">
        <v>176</v>
      </c>
      <c r="C263" s="18" t="s">
        <v>442</v>
      </c>
      <c r="D263" s="13">
        <v>19</v>
      </c>
      <c r="E263" s="13">
        <v>19</v>
      </c>
      <c r="F263" s="13">
        <v>13</v>
      </c>
      <c r="G263" s="13">
        <v>0</v>
      </c>
      <c r="H263" s="13">
        <v>15</v>
      </c>
      <c r="I263" s="13">
        <v>18</v>
      </c>
      <c r="J263" s="13">
        <v>16</v>
      </c>
      <c r="K263" s="13">
        <v>0</v>
      </c>
      <c r="L263" s="13">
        <v>18</v>
      </c>
      <c r="M263" s="13">
        <v>0</v>
      </c>
      <c r="N263" s="13"/>
      <c r="O263" s="13"/>
      <c r="P263" s="13">
        <f t="shared" ref="P263:P299" si="13">SUM(D263:O263)</f>
        <v>118</v>
      </c>
      <c r="Q263" s="9">
        <f ca="1">P263-IFERROR(SMALL(D263:INDIRECT(ADDRESS(ROW(),4+Settings[Value])), 1),0)-IFERROR(SMALL(D263:INDIRECT(ADDRESS(ROW(),4+Settings[Value])),2),0)</f>
        <v>118</v>
      </c>
    </row>
    <row r="264" spans="1:17" x14ac:dyDescent="0.2">
      <c r="A264" s="15" t="s">
        <v>370</v>
      </c>
      <c r="B264" s="15" t="s">
        <v>281</v>
      </c>
      <c r="C264" s="18" t="s">
        <v>267</v>
      </c>
      <c r="D264" s="13">
        <v>16</v>
      </c>
      <c r="E264" s="13">
        <v>17</v>
      </c>
      <c r="F264" s="13">
        <v>6</v>
      </c>
      <c r="G264" s="13">
        <v>11</v>
      </c>
      <c r="H264" s="13">
        <v>10</v>
      </c>
      <c r="I264" s="13">
        <v>15</v>
      </c>
      <c r="J264" s="13">
        <v>11</v>
      </c>
      <c r="K264" s="13">
        <v>13</v>
      </c>
      <c r="L264" s="13">
        <v>17</v>
      </c>
      <c r="M264" s="13">
        <v>0</v>
      </c>
      <c r="N264" s="13"/>
      <c r="O264" s="13"/>
      <c r="P264" s="13">
        <f t="shared" si="13"/>
        <v>116</v>
      </c>
      <c r="Q264" s="14">
        <f ca="1">P264-IFERROR(SMALL(D264:INDIRECT(ADDRESS(ROW(),4+Settings[Value])), 1),0)-IFERROR(SMALL(D264:INDIRECT(ADDRESS(ROW(),4+Settings[Value])),2),0)</f>
        <v>110</v>
      </c>
    </row>
    <row r="265" spans="1:17" x14ac:dyDescent="0.2">
      <c r="A265" s="15" t="s">
        <v>365</v>
      </c>
      <c r="B265" s="15" t="s">
        <v>366</v>
      </c>
      <c r="C265" s="18" t="s">
        <v>222</v>
      </c>
      <c r="D265" s="14">
        <v>18</v>
      </c>
      <c r="E265" s="14">
        <v>0</v>
      </c>
      <c r="F265" s="14">
        <v>10</v>
      </c>
      <c r="G265" s="14">
        <v>19</v>
      </c>
      <c r="H265" s="14">
        <v>14</v>
      </c>
      <c r="I265" s="14">
        <v>0</v>
      </c>
      <c r="J265" s="14">
        <v>13</v>
      </c>
      <c r="K265" s="14">
        <v>17</v>
      </c>
      <c r="L265" s="14">
        <v>0</v>
      </c>
      <c r="M265" s="14">
        <v>17</v>
      </c>
      <c r="N265" s="14"/>
      <c r="O265" s="14"/>
      <c r="P265" s="22">
        <f t="shared" si="13"/>
        <v>108</v>
      </c>
      <c r="Q265" s="14">
        <f ca="1">P265-IFERROR(SMALL(D265:INDIRECT(ADDRESS(ROW(),4+Settings[Value])), 1),0)-IFERROR(SMALL(D265:INDIRECT(ADDRESS(ROW(),4+Settings[Value])),2),0)</f>
        <v>108</v>
      </c>
    </row>
    <row r="266" spans="1:17" x14ac:dyDescent="0.2">
      <c r="A266" s="15" t="s">
        <v>372</v>
      </c>
      <c r="B266" s="15" t="s">
        <v>278</v>
      </c>
      <c r="C266" s="18" t="s">
        <v>267</v>
      </c>
      <c r="D266" s="14">
        <v>15</v>
      </c>
      <c r="E266" s="14">
        <v>15</v>
      </c>
      <c r="F266" s="14">
        <v>5</v>
      </c>
      <c r="G266" s="14">
        <v>9</v>
      </c>
      <c r="H266" s="14">
        <v>8</v>
      </c>
      <c r="I266" s="14">
        <v>14</v>
      </c>
      <c r="J266" s="14">
        <v>0</v>
      </c>
      <c r="K266" s="14">
        <v>12</v>
      </c>
      <c r="L266" s="14">
        <v>0</v>
      </c>
      <c r="M266" s="14">
        <v>0</v>
      </c>
      <c r="N266" s="14"/>
      <c r="O266" s="14"/>
      <c r="P266" s="14">
        <f t="shared" si="13"/>
        <v>78</v>
      </c>
      <c r="Q266" s="14">
        <f ca="1">P266-IFERROR(SMALL(D266:INDIRECT(ADDRESS(ROW(),4+Settings[Value])), 1),0)-IFERROR(SMALL(D266:INDIRECT(ADDRESS(ROW(),4+Settings[Value])),2),0)</f>
        <v>78</v>
      </c>
    </row>
    <row r="267" spans="1:17" x14ac:dyDescent="0.2">
      <c r="A267" s="15" t="s">
        <v>645</v>
      </c>
      <c r="B267" s="15" t="s">
        <v>646</v>
      </c>
      <c r="C267" s="18" t="s">
        <v>345</v>
      </c>
      <c r="D267" s="14">
        <v>0</v>
      </c>
      <c r="E267" s="14">
        <v>20</v>
      </c>
      <c r="F267" s="14">
        <v>18</v>
      </c>
      <c r="G267" s="14">
        <v>0</v>
      </c>
      <c r="H267" s="14">
        <v>0</v>
      </c>
      <c r="I267" s="14">
        <v>19</v>
      </c>
      <c r="J267" s="14">
        <v>0</v>
      </c>
      <c r="K267" s="14">
        <v>19</v>
      </c>
      <c r="L267" s="14">
        <v>0</v>
      </c>
      <c r="M267" s="14">
        <v>0</v>
      </c>
      <c r="N267" s="14"/>
      <c r="O267" s="14"/>
      <c r="P267" s="22">
        <f t="shared" si="13"/>
        <v>76</v>
      </c>
      <c r="Q267" s="14">
        <f ca="1">P267-IFERROR(SMALL(D267:INDIRECT(ADDRESS(ROW(),4+Settings[Value])), 1),0)-IFERROR(SMALL(D267:INDIRECT(ADDRESS(ROW(),4+Settings[Value])),2),0)</f>
        <v>76</v>
      </c>
    </row>
    <row r="268" spans="1:17" x14ac:dyDescent="0.2">
      <c r="A268" s="15" t="s">
        <v>388</v>
      </c>
      <c r="B268" s="15" t="s">
        <v>30</v>
      </c>
      <c r="C268" s="15" t="s">
        <v>389</v>
      </c>
      <c r="D268" s="14">
        <v>0</v>
      </c>
      <c r="E268" s="14">
        <v>0</v>
      </c>
      <c r="F268" s="14">
        <v>17</v>
      </c>
      <c r="G268" s="14">
        <v>0</v>
      </c>
      <c r="H268" s="14">
        <v>19</v>
      </c>
      <c r="I268" s="14">
        <v>0</v>
      </c>
      <c r="J268" s="14">
        <v>0</v>
      </c>
      <c r="K268" s="14">
        <v>0</v>
      </c>
      <c r="L268" s="14">
        <v>0</v>
      </c>
      <c r="M268" s="14">
        <v>19</v>
      </c>
      <c r="N268" s="14"/>
      <c r="O268" s="14"/>
      <c r="P268" s="22">
        <f t="shared" si="13"/>
        <v>55</v>
      </c>
      <c r="Q268" s="14">
        <f ca="1">P268-IFERROR(SMALL(D268:INDIRECT(ADDRESS(ROW(),4+Settings[Value])), 1),0)-IFERROR(SMALL(D268:INDIRECT(ADDRESS(ROW(),4+Settings[Value])),2),0)</f>
        <v>55</v>
      </c>
    </row>
    <row r="269" spans="1:17" x14ac:dyDescent="0.2">
      <c r="A269" s="15" t="s">
        <v>286</v>
      </c>
      <c r="B269" s="15" t="s">
        <v>287</v>
      </c>
      <c r="C269" s="15" t="s">
        <v>38</v>
      </c>
      <c r="D269" s="14">
        <v>0</v>
      </c>
      <c r="E269" s="14">
        <v>0</v>
      </c>
      <c r="F269" s="14">
        <v>0</v>
      </c>
      <c r="G269" s="14">
        <v>0</v>
      </c>
      <c r="H269" s="14">
        <v>17</v>
      </c>
      <c r="I269" s="14">
        <v>0</v>
      </c>
      <c r="J269" s="14">
        <v>15</v>
      </c>
      <c r="K269" s="14">
        <v>0</v>
      </c>
      <c r="L269" s="14">
        <v>0</v>
      </c>
      <c r="M269" s="14">
        <v>16</v>
      </c>
      <c r="N269" s="14"/>
      <c r="O269" s="14"/>
      <c r="P269" s="22">
        <f t="shared" si="13"/>
        <v>48</v>
      </c>
      <c r="Q269" s="22">
        <f ca="1">P269-IFERROR(SMALL(D269:INDIRECT(ADDRESS(ROW(),4+Settings[Value])), 1),0)-IFERROR(SMALL(D269:INDIRECT(ADDRESS(ROW(),4+Settings[Value])),2),0)</f>
        <v>48</v>
      </c>
    </row>
    <row r="270" spans="1:17" x14ac:dyDescent="0.2">
      <c r="A270" s="15" t="s">
        <v>613</v>
      </c>
      <c r="B270" s="15" t="s">
        <v>281</v>
      </c>
      <c r="C270" s="15" t="s">
        <v>452</v>
      </c>
      <c r="D270" s="13">
        <v>0</v>
      </c>
      <c r="E270" s="13">
        <v>0</v>
      </c>
      <c r="F270" s="13">
        <v>0</v>
      </c>
      <c r="G270" s="13">
        <v>0</v>
      </c>
      <c r="H270" s="13">
        <v>0</v>
      </c>
      <c r="I270" s="13">
        <v>20</v>
      </c>
      <c r="J270" s="13">
        <v>20</v>
      </c>
      <c r="K270" s="13">
        <v>0</v>
      </c>
      <c r="L270" s="13">
        <v>0</v>
      </c>
      <c r="M270" s="13">
        <v>0</v>
      </c>
      <c r="N270" s="13"/>
      <c r="O270" s="13"/>
      <c r="P270" s="19">
        <f t="shared" si="13"/>
        <v>40</v>
      </c>
      <c r="Q270" s="22">
        <f ca="1">P270-IFERROR(SMALL(D270:INDIRECT(ADDRESS(ROW(),4+Settings[Value])), 1),0)-IFERROR(SMALL(D270:INDIRECT(ADDRESS(ROW(),4+Settings[Value])),2),0)</f>
        <v>40</v>
      </c>
    </row>
    <row r="271" spans="1:17" x14ac:dyDescent="0.2">
      <c r="A271" s="15" t="s">
        <v>941</v>
      </c>
      <c r="B271" s="15" t="s">
        <v>942</v>
      </c>
      <c r="C271" s="16" t="s">
        <v>38</v>
      </c>
      <c r="D271" s="13">
        <v>0</v>
      </c>
      <c r="E271" s="13">
        <v>0</v>
      </c>
      <c r="F271" s="13">
        <v>20</v>
      </c>
      <c r="G271" s="13">
        <v>17</v>
      </c>
      <c r="H271" s="13">
        <v>0</v>
      </c>
      <c r="I271" s="13">
        <v>0</v>
      </c>
      <c r="J271" s="13">
        <v>0</v>
      </c>
      <c r="K271" s="13">
        <v>0</v>
      </c>
      <c r="L271" s="13">
        <v>0</v>
      </c>
      <c r="M271" s="13">
        <v>0</v>
      </c>
      <c r="N271" s="13"/>
      <c r="O271" s="13"/>
      <c r="P271" s="19">
        <f t="shared" si="13"/>
        <v>37</v>
      </c>
      <c r="Q271" s="13">
        <f ca="1">P271-IFERROR(SMALL(D271:INDIRECT(ADDRESS(ROW(),4+Settings[Value])), 1),0)-IFERROR(SMALL(D271:INDIRECT(ADDRESS(ROW(),4+Settings[Value])),2),0)</f>
        <v>37</v>
      </c>
    </row>
    <row r="272" spans="1:17" x14ac:dyDescent="0.2">
      <c r="A272" s="15" t="s">
        <v>943</v>
      </c>
      <c r="B272" s="15" t="s">
        <v>14</v>
      </c>
      <c r="C272" s="16" t="s">
        <v>222</v>
      </c>
      <c r="D272" s="13">
        <v>0</v>
      </c>
      <c r="E272" s="13">
        <v>0</v>
      </c>
      <c r="F272" s="13">
        <v>19</v>
      </c>
      <c r="G272" s="13">
        <v>18</v>
      </c>
      <c r="H272" s="13">
        <v>0</v>
      </c>
      <c r="I272" s="13">
        <v>0</v>
      </c>
      <c r="J272" s="13">
        <v>0</v>
      </c>
      <c r="K272" s="13">
        <v>0</v>
      </c>
      <c r="L272" s="13">
        <v>0</v>
      </c>
      <c r="M272" s="13">
        <v>0</v>
      </c>
      <c r="N272" s="13"/>
      <c r="O272" s="13"/>
      <c r="P272" s="19">
        <f t="shared" si="13"/>
        <v>37</v>
      </c>
      <c r="Q272" s="13">
        <f ca="1">P272-IFERROR(SMALL(D272:INDIRECT(ADDRESS(ROW(),4+Settings[Value])), 1),0)-IFERROR(SMALL(D272:INDIRECT(ADDRESS(ROW(),4+Settings[Value])),2),0)</f>
        <v>37</v>
      </c>
    </row>
    <row r="273" spans="1:17" x14ac:dyDescent="0.2">
      <c r="A273" s="15" t="s">
        <v>1509</v>
      </c>
      <c r="B273" s="15" t="s">
        <v>1125</v>
      </c>
      <c r="C273" s="8" t="s">
        <v>1510</v>
      </c>
      <c r="D273" s="13">
        <v>0</v>
      </c>
      <c r="E273" s="13">
        <v>0</v>
      </c>
      <c r="F273" s="13">
        <v>0</v>
      </c>
      <c r="G273" s="13">
        <v>0</v>
      </c>
      <c r="H273" s="13">
        <v>0</v>
      </c>
      <c r="I273" s="13">
        <v>0</v>
      </c>
      <c r="J273" s="13">
        <v>19</v>
      </c>
      <c r="K273" s="13">
        <v>18</v>
      </c>
      <c r="L273" s="13">
        <v>0</v>
      </c>
      <c r="M273" s="13">
        <v>0</v>
      </c>
      <c r="N273" s="13"/>
      <c r="O273" s="13"/>
      <c r="P273" s="19">
        <f t="shared" si="13"/>
        <v>37</v>
      </c>
      <c r="Q273" s="19">
        <f ca="1">P273-IFERROR(SMALL(D273:INDIRECT(ADDRESS(ROW(),4+Settings[Value])), 1),0)-IFERROR(SMALL(D273:INDIRECT(ADDRESS(ROW(),4+Settings[Value])),2),0)</f>
        <v>37</v>
      </c>
    </row>
    <row r="274" spans="1:17" x14ac:dyDescent="0.2">
      <c r="A274" s="15" t="s">
        <v>649</v>
      </c>
      <c r="B274" s="15" t="s">
        <v>281</v>
      </c>
      <c r="C274" s="18" t="s">
        <v>8</v>
      </c>
      <c r="D274" s="13">
        <v>0</v>
      </c>
      <c r="E274" s="13">
        <v>18</v>
      </c>
      <c r="F274" s="13">
        <v>0</v>
      </c>
      <c r="G274" s="13">
        <v>0</v>
      </c>
      <c r="H274" s="13">
        <v>0</v>
      </c>
      <c r="I274" s="13">
        <v>16</v>
      </c>
      <c r="J274" s="13">
        <v>0</v>
      </c>
      <c r="K274" s="13">
        <v>0</v>
      </c>
      <c r="L274" s="13">
        <v>0</v>
      </c>
      <c r="M274" s="13">
        <v>0</v>
      </c>
      <c r="N274" s="13"/>
      <c r="O274" s="13"/>
      <c r="P274" s="19">
        <f t="shared" si="13"/>
        <v>34</v>
      </c>
      <c r="Q274" s="13">
        <f ca="1">P274-IFERROR(SMALL(D274:INDIRECT(ADDRESS(ROW(),4+Settings[Value])), 1),0)-IFERROR(SMALL(D274:INDIRECT(ADDRESS(ROW(),4+Settings[Value])),2),0)</f>
        <v>34</v>
      </c>
    </row>
    <row r="275" spans="1:17" x14ac:dyDescent="0.2">
      <c r="A275" s="15" t="s">
        <v>956</v>
      </c>
      <c r="B275" s="15" t="s">
        <v>595</v>
      </c>
      <c r="C275" s="16" t="s">
        <v>18</v>
      </c>
      <c r="D275" s="13">
        <v>0</v>
      </c>
      <c r="E275" s="13">
        <v>0</v>
      </c>
      <c r="F275" s="13">
        <v>14</v>
      </c>
      <c r="G275" s="13">
        <v>0</v>
      </c>
      <c r="H275" s="13">
        <v>0</v>
      </c>
      <c r="I275" s="13">
        <v>0</v>
      </c>
      <c r="J275" s="13">
        <v>17</v>
      </c>
      <c r="K275" s="13">
        <v>0</v>
      </c>
      <c r="L275" s="13">
        <v>0</v>
      </c>
      <c r="M275" s="13">
        <v>0</v>
      </c>
      <c r="N275" s="13"/>
      <c r="O275" s="13"/>
      <c r="P275" s="19">
        <f t="shared" si="13"/>
        <v>31</v>
      </c>
      <c r="Q275" s="13">
        <f ca="1">P275-IFERROR(SMALL(D275:INDIRECT(ADDRESS(ROW(),4+Settings[Value])), 1),0)-IFERROR(SMALL(D275:INDIRECT(ADDRESS(ROW(),4+Settings[Value])),2),0)</f>
        <v>31</v>
      </c>
    </row>
    <row r="276" spans="1:17" x14ac:dyDescent="0.2">
      <c r="A276" s="15" t="s">
        <v>958</v>
      </c>
      <c r="B276" s="15" t="s">
        <v>959</v>
      </c>
      <c r="C276" s="8" t="s">
        <v>504</v>
      </c>
      <c r="D276" s="13">
        <v>0</v>
      </c>
      <c r="E276" s="13">
        <v>0</v>
      </c>
      <c r="F276" s="13">
        <v>12</v>
      </c>
      <c r="G276" s="13">
        <v>0</v>
      </c>
      <c r="H276" s="13">
        <v>16</v>
      </c>
      <c r="I276" s="13">
        <v>0</v>
      </c>
      <c r="J276" s="13">
        <v>0</v>
      </c>
      <c r="K276" s="13">
        <v>0</v>
      </c>
      <c r="L276" s="13">
        <v>0</v>
      </c>
      <c r="M276" s="13">
        <v>0</v>
      </c>
      <c r="N276" s="13"/>
      <c r="O276" s="13"/>
      <c r="P276" s="19">
        <f t="shared" si="13"/>
        <v>28</v>
      </c>
      <c r="Q276" s="13">
        <f ca="1">P276-IFERROR(SMALL(D276:INDIRECT(ADDRESS(ROW(),4+Settings[Value])), 1),0)-IFERROR(SMALL(D276:INDIRECT(ADDRESS(ROW(),4+Settings[Value])),2),0)</f>
        <v>28</v>
      </c>
    </row>
    <row r="277" spans="1:17" x14ac:dyDescent="0.2">
      <c r="A277" s="15" t="s">
        <v>378</v>
      </c>
      <c r="B277" s="15" t="s">
        <v>14</v>
      </c>
      <c r="C277" s="20" t="s">
        <v>167</v>
      </c>
      <c r="D277" s="13">
        <v>13</v>
      </c>
      <c r="E277" s="13">
        <v>13</v>
      </c>
      <c r="F277" s="13">
        <v>0</v>
      </c>
      <c r="G277" s="13">
        <v>0</v>
      </c>
      <c r="H277" s="13">
        <v>0</v>
      </c>
      <c r="I277" s="13">
        <v>0</v>
      </c>
      <c r="J277" s="13">
        <v>0</v>
      </c>
      <c r="K277" s="13">
        <v>0</v>
      </c>
      <c r="L277" s="13">
        <v>0</v>
      </c>
      <c r="M277" s="13">
        <v>0</v>
      </c>
      <c r="N277" s="13"/>
      <c r="O277" s="13"/>
      <c r="P277" s="13">
        <f t="shared" si="13"/>
        <v>26</v>
      </c>
      <c r="Q277" s="13">
        <f ca="1">P277-IFERROR(SMALL(D277:INDIRECT(ADDRESS(ROW(),4+Settings[Value])), 1),0)-IFERROR(SMALL(D277:INDIRECT(ADDRESS(ROW(),4+Settings[Value])),2),0)</f>
        <v>26</v>
      </c>
    </row>
    <row r="278" spans="1:17" x14ac:dyDescent="0.2">
      <c r="A278" s="15" t="s">
        <v>380</v>
      </c>
      <c r="B278" s="15" t="s">
        <v>194</v>
      </c>
      <c r="C278" s="20" t="s">
        <v>167</v>
      </c>
      <c r="D278" s="13">
        <v>12</v>
      </c>
      <c r="E278" s="13">
        <v>12</v>
      </c>
      <c r="F278" s="13">
        <v>0</v>
      </c>
      <c r="G278" s="13">
        <v>0</v>
      </c>
      <c r="H278" s="13">
        <v>0</v>
      </c>
      <c r="I278" s="13">
        <v>0</v>
      </c>
      <c r="J278" s="13">
        <v>0</v>
      </c>
      <c r="K278" s="13">
        <v>0</v>
      </c>
      <c r="L278" s="13">
        <v>0</v>
      </c>
      <c r="M278" s="13">
        <v>0</v>
      </c>
      <c r="N278" s="13"/>
      <c r="O278" s="13"/>
      <c r="P278" s="13">
        <f t="shared" si="13"/>
        <v>24</v>
      </c>
      <c r="Q278" s="13">
        <f ca="1">P278-IFERROR(SMALL(D278:INDIRECT(ADDRESS(ROW(),4+Settings[Value])), 1),0)-IFERROR(SMALL(D278:INDIRECT(ADDRESS(ROW(),4+Settings[Value])),2),0)</f>
        <v>24</v>
      </c>
    </row>
    <row r="279" spans="1:17" x14ac:dyDescent="0.2">
      <c r="A279" s="15" t="s">
        <v>1206</v>
      </c>
      <c r="B279" s="15" t="s">
        <v>174</v>
      </c>
      <c r="C279" s="16" t="s">
        <v>433</v>
      </c>
      <c r="D279" s="13">
        <v>0</v>
      </c>
      <c r="E279" s="13">
        <v>0</v>
      </c>
      <c r="F279" s="13">
        <v>0</v>
      </c>
      <c r="G279" s="13">
        <v>0</v>
      </c>
      <c r="H279" s="13">
        <v>20</v>
      </c>
      <c r="I279" s="13">
        <v>0</v>
      </c>
      <c r="J279" s="13">
        <v>0</v>
      </c>
      <c r="K279" s="13">
        <v>0</v>
      </c>
      <c r="L279" s="13">
        <v>0</v>
      </c>
      <c r="M279" s="13">
        <v>0</v>
      </c>
      <c r="N279" s="13"/>
      <c r="O279" s="13"/>
      <c r="P279" s="19">
        <f t="shared" si="13"/>
        <v>20</v>
      </c>
      <c r="Q279" s="19">
        <f ca="1">P279-IFERROR(SMALL(D279:INDIRECT(ADDRESS(ROW(),4+Settings[Value])), 1),0)-IFERROR(SMALL(D279:INDIRECT(ADDRESS(ROW(),4+Settings[Value])),2),0)</f>
        <v>20</v>
      </c>
    </row>
    <row r="280" spans="1:17" x14ac:dyDescent="0.2">
      <c r="A280" s="15" t="s">
        <v>1746</v>
      </c>
      <c r="B280" s="15" t="s">
        <v>1747</v>
      </c>
      <c r="C280" s="8" t="s">
        <v>447</v>
      </c>
      <c r="D280" s="13">
        <v>0</v>
      </c>
      <c r="E280" s="13">
        <v>0</v>
      </c>
      <c r="F280" s="13">
        <v>0</v>
      </c>
      <c r="G280" s="13">
        <v>0</v>
      </c>
      <c r="H280" s="13">
        <v>0</v>
      </c>
      <c r="I280" s="13">
        <v>0</v>
      </c>
      <c r="J280" s="13">
        <v>0</v>
      </c>
      <c r="K280" s="13">
        <v>20</v>
      </c>
      <c r="L280" s="13">
        <v>0</v>
      </c>
      <c r="M280" s="13">
        <v>0</v>
      </c>
      <c r="N280" s="13"/>
      <c r="O280" s="13"/>
      <c r="P280" s="19">
        <f t="shared" si="13"/>
        <v>20</v>
      </c>
      <c r="Q280" s="19">
        <f ca="1">P280-IFERROR(SMALL(D280:INDIRECT(ADDRESS(ROW(),4+Settings[Value])), 1),0)-IFERROR(SMALL(D280:INDIRECT(ADDRESS(ROW(),4+Settings[Value])),2),0)</f>
        <v>20</v>
      </c>
    </row>
    <row r="281" spans="1:17" x14ac:dyDescent="0.2">
      <c r="A281" s="15" t="s">
        <v>1911</v>
      </c>
      <c r="B281" s="15" t="s">
        <v>23</v>
      </c>
      <c r="C281" s="8" t="s">
        <v>452</v>
      </c>
      <c r="D281" s="13">
        <v>0</v>
      </c>
      <c r="E281" s="13">
        <v>0</v>
      </c>
      <c r="F281" s="13">
        <v>0</v>
      </c>
      <c r="G281" s="13">
        <v>0</v>
      </c>
      <c r="H281" s="13">
        <v>0</v>
      </c>
      <c r="I281" s="13">
        <v>0</v>
      </c>
      <c r="J281" s="13">
        <v>0</v>
      </c>
      <c r="K281" s="13">
        <v>0</v>
      </c>
      <c r="L281" s="13">
        <v>19</v>
      </c>
      <c r="M281" s="13">
        <v>0</v>
      </c>
      <c r="N281" s="13"/>
      <c r="O281" s="13"/>
      <c r="P281" s="19">
        <f t="shared" si="13"/>
        <v>19</v>
      </c>
      <c r="Q281" s="19">
        <f ca="1">P281-IFERROR(SMALL(D281:INDIRECT(ADDRESS(ROW(),4+Settings[Value])), 1),0)-IFERROR(SMALL(D281:INDIRECT(ADDRESS(ROW(),4+Settings[Value])),2),0)</f>
        <v>19</v>
      </c>
    </row>
    <row r="282" spans="1:17" x14ac:dyDescent="0.2">
      <c r="A282" s="15" t="s">
        <v>1513</v>
      </c>
      <c r="B282" s="15" t="s">
        <v>368</v>
      </c>
      <c r="C282" s="8" t="s">
        <v>1236</v>
      </c>
      <c r="D282" s="13">
        <v>0</v>
      </c>
      <c r="E282" s="13">
        <v>0</v>
      </c>
      <c r="F282" s="13">
        <v>0</v>
      </c>
      <c r="G282" s="13">
        <v>0</v>
      </c>
      <c r="H282" s="13">
        <v>0</v>
      </c>
      <c r="I282" s="13">
        <v>0</v>
      </c>
      <c r="J282" s="13">
        <v>18</v>
      </c>
      <c r="K282" s="13">
        <v>0</v>
      </c>
      <c r="L282" s="13">
        <v>0</v>
      </c>
      <c r="M282" s="13">
        <v>0</v>
      </c>
      <c r="N282" s="13"/>
      <c r="O282" s="13"/>
      <c r="P282" s="19">
        <f t="shared" si="13"/>
        <v>18</v>
      </c>
      <c r="Q282" s="19">
        <f ca="1">P282-IFERROR(SMALL(D282:INDIRECT(ADDRESS(ROW(),4+Settings[Value])), 1),0)-IFERROR(SMALL(D282:INDIRECT(ADDRESS(ROW(),4+Settings[Value])),2),0)</f>
        <v>18</v>
      </c>
    </row>
    <row r="283" spans="1:17" x14ac:dyDescent="0.2">
      <c r="A283" s="15" t="s">
        <v>84</v>
      </c>
      <c r="B283" s="15" t="s">
        <v>368</v>
      </c>
      <c r="C283" s="20" t="s">
        <v>442</v>
      </c>
      <c r="D283" s="13">
        <v>17</v>
      </c>
      <c r="E283" s="13">
        <v>0</v>
      </c>
      <c r="F283" s="13">
        <v>0</v>
      </c>
      <c r="G283" s="13">
        <v>0</v>
      </c>
      <c r="H283" s="13">
        <v>0</v>
      </c>
      <c r="I283" s="13">
        <v>0</v>
      </c>
      <c r="J283" s="13">
        <v>0</v>
      </c>
      <c r="K283" s="13">
        <v>0</v>
      </c>
      <c r="L283" s="13">
        <v>0</v>
      </c>
      <c r="M283" s="13">
        <v>0</v>
      </c>
      <c r="N283" s="13"/>
      <c r="O283" s="13"/>
      <c r="P283" s="13">
        <f t="shared" si="13"/>
        <v>17</v>
      </c>
      <c r="Q283" s="13">
        <f ca="1">P283-IFERROR(SMALL(D283:INDIRECT(ADDRESS(ROW(),4+Settings[Value])), 1),0)-IFERROR(SMALL(D283:INDIRECT(ADDRESS(ROW(),4+Settings[Value])),2),0)</f>
        <v>17</v>
      </c>
    </row>
    <row r="284" spans="1:17" x14ac:dyDescent="0.2">
      <c r="A284" s="15" t="s">
        <v>193</v>
      </c>
      <c r="B284" s="15" t="s">
        <v>194</v>
      </c>
      <c r="C284" s="20" t="s">
        <v>442</v>
      </c>
      <c r="D284" s="13">
        <v>0</v>
      </c>
      <c r="E284" s="13">
        <v>16</v>
      </c>
      <c r="F284" s="13">
        <v>0</v>
      </c>
      <c r="G284" s="13">
        <v>0</v>
      </c>
      <c r="H284" s="13">
        <v>0</v>
      </c>
      <c r="I284" s="13">
        <v>0</v>
      </c>
      <c r="J284" s="13">
        <v>0</v>
      </c>
      <c r="K284" s="13">
        <v>0</v>
      </c>
      <c r="L284" s="13">
        <v>0</v>
      </c>
      <c r="M284" s="13">
        <v>0</v>
      </c>
      <c r="N284" s="13"/>
      <c r="O284" s="13"/>
      <c r="P284" s="19">
        <f t="shared" si="13"/>
        <v>16</v>
      </c>
      <c r="Q284" s="13">
        <f ca="1">P284-IFERROR(SMALL(D284:INDIRECT(ADDRESS(ROW(),4+Settings[Value])), 1),0)-IFERROR(SMALL(D284:INDIRECT(ADDRESS(ROW(),4+Settings[Value])),2),0)</f>
        <v>16</v>
      </c>
    </row>
    <row r="285" spans="1:17" x14ac:dyDescent="0.2">
      <c r="A285" s="15" t="s">
        <v>948</v>
      </c>
      <c r="B285" s="15" t="s">
        <v>949</v>
      </c>
      <c r="C285" s="8" t="s">
        <v>506</v>
      </c>
      <c r="D285" s="13">
        <v>0</v>
      </c>
      <c r="E285" s="13">
        <v>0</v>
      </c>
      <c r="F285" s="13">
        <v>16</v>
      </c>
      <c r="G285" s="13">
        <v>0</v>
      </c>
      <c r="H285" s="13">
        <v>0</v>
      </c>
      <c r="I285" s="13">
        <v>0</v>
      </c>
      <c r="J285" s="13">
        <v>0</v>
      </c>
      <c r="K285" s="13">
        <v>0</v>
      </c>
      <c r="L285" s="13">
        <v>0</v>
      </c>
      <c r="M285" s="13">
        <v>0</v>
      </c>
      <c r="N285" s="13"/>
      <c r="O285" s="13"/>
      <c r="P285" s="19">
        <f t="shared" si="13"/>
        <v>16</v>
      </c>
      <c r="Q285" s="13">
        <f ca="1">P285-IFERROR(SMALL(D285:INDIRECT(ADDRESS(ROW(),4+Settings[Value])), 1),0)-IFERROR(SMALL(D285:INDIRECT(ADDRESS(ROW(),4+Settings[Value])),2),0)</f>
        <v>16</v>
      </c>
    </row>
    <row r="286" spans="1:17" x14ac:dyDescent="0.2">
      <c r="A286" s="15" t="s">
        <v>1751</v>
      </c>
      <c r="B286" s="15" t="s">
        <v>11</v>
      </c>
      <c r="C286" s="8" t="s">
        <v>313</v>
      </c>
      <c r="D286" s="13">
        <v>0</v>
      </c>
      <c r="E286" s="13">
        <v>0</v>
      </c>
      <c r="F286" s="13">
        <v>0</v>
      </c>
      <c r="G286" s="13">
        <v>0</v>
      </c>
      <c r="H286" s="13">
        <v>0</v>
      </c>
      <c r="I286" s="13">
        <v>0</v>
      </c>
      <c r="J286" s="13">
        <v>0</v>
      </c>
      <c r="K286" s="13">
        <v>15</v>
      </c>
      <c r="L286" s="13">
        <v>0</v>
      </c>
      <c r="M286" s="13">
        <v>0</v>
      </c>
      <c r="N286" s="13"/>
      <c r="O286" s="13"/>
      <c r="P286" s="19">
        <f t="shared" si="13"/>
        <v>15</v>
      </c>
      <c r="Q286" s="19">
        <f ca="1">P286-IFERROR(SMALL(D286:INDIRECT(ADDRESS(ROW(),4+Settings[Value])), 1),0)-IFERROR(SMALL(D286:INDIRECT(ADDRESS(ROW(),4+Settings[Value])),2),0)</f>
        <v>15</v>
      </c>
    </row>
    <row r="287" spans="1:17" x14ac:dyDescent="0.2">
      <c r="A287" s="15" t="s">
        <v>374</v>
      </c>
      <c r="B287" s="15" t="s">
        <v>375</v>
      </c>
      <c r="C287" s="20" t="s">
        <v>376</v>
      </c>
      <c r="D287" s="13">
        <v>14</v>
      </c>
      <c r="E287" s="13">
        <v>0</v>
      </c>
      <c r="F287" s="13">
        <v>0</v>
      </c>
      <c r="G287" s="13">
        <v>0</v>
      </c>
      <c r="H287" s="13">
        <v>0</v>
      </c>
      <c r="I287" s="13">
        <v>0</v>
      </c>
      <c r="J287" s="13">
        <v>0</v>
      </c>
      <c r="K287" s="13">
        <v>0</v>
      </c>
      <c r="L287" s="13">
        <v>0</v>
      </c>
      <c r="M287" s="13">
        <v>0</v>
      </c>
      <c r="N287" s="13"/>
      <c r="O287" s="13"/>
      <c r="P287" s="13">
        <f t="shared" si="13"/>
        <v>14</v>
      </c>
      <c r="Q287" s="13">
        <f ca="1">P287-IFERROR(SMALL(D287:INDIRECT(ADDRESS(ROW(),4+Settings[Value])), 1),0)-IFERROR(SMALL(D287:INDIRECT(ADDRESS(ROW(),4+Settings[Value])),2),0)</f>
        <v>14</v>
      </c>
    </row>
    <row r="288" spans="1:17" x14ac:dyDescent="0.2">
      <c r="A288" s="15" t="s">
        <v>652</v>
      </c>
      <c r="B288" s="15" t="s">
        <v>250</v>
      </c>
      <c r="C288" s="20" t="s">
        <v>653</v>
      </c>
      <c r="D288" s="13">
        <v>0</v>
      </c>
      <c r="E288" s="13">
        <v>14</v>
      </c>
      <c r="F288" s="13">
        <v>0</v>
      </c>
      <c r="G288" s="13">
        <v>0</v>
      </c>
      <c r="H288" s="13">
        <v>0</v>
      </c>
      <c r="I288" s="13">
        <v>0</v>
      </c>
      <c r="J288" s="13">
        <v>0</v>
      </c>
      <c r="K288" s="13">
        <v>0</v>
      </c>
      <c r="L288" s="13">
        <v>0</v>
      </c>
      <c r="M288" s="13">
        <v>0</v>
      </c>
      <c r="N288" s="13"/>
      <c r="O288" s="13"/>
      <c r="P288" s="19">
        <f t="shared" si="13"/>
        <v>14</v>
      </c>
      <c r="Q288" s="13">
        <f ca="1">P288-IFERROR(SMALL(D288:INDIRECT(ADDRESS(ROW(),4+Settings[Value])), 1),0)-IFERROR(SMALL(D288:INDIRECT(ADDRESS(ROW(),4+Settings[Value])),2),0)</f>
        <v>14</v>
      </c>
    </row>
    <row r="289" spans="1:17" x14ac:dyDescent="0.2">
      <c r="A289" s="15" t="s">
        <v>209</v>
      </c>
      <c r="B289" s="15" t="s">
        <v>511</v>
      </c>
      <c r="C289" s="8" t="s">
        <v>504</v>
      </c>
      <c r="D289" s="13">
        <v>0</v>
      </c>
      <c r="E289" s="13">
        <v>0</v>
      </c>
      <c r="F289" s="13">
        <v>0</v>
      </c>
      <c r="G289" s="13">
        <v>0</v>
      </c>
      <c r="H289" s="13">
        <v>12</v>
      </c>
      <c r="I289" s="13">
        <v>0</v>
      </c>
      <c r="J289" s="13">
        <v>0</v>
      </c>
      <c r="K289" s="13">
        <v>0</v>
      </c>
      <c r="L289" s="13">
        <v>0</v>
      </c>
      <c r="M289" s="13">
        <v>0</v>
      </c>
      <c r="N289" s="13"/>
      <c r="O289" s="13"/>
      <c r="P289" s="19">
        <f t="shared" si="13"/>
        <v>12</v>
      </c>
      <c r="Q289" s="19">
        <f ca="1">P289-IFERROR(SMALL(D289:INDIRECT(ADDRESS(ROW(),4+Settings[Value])), 1),0)-IFERROR(SMALL(D289:INDIRECT(ADDRESS(ROW(),4+Settings[Value])),2),0)</f>
        <v>12</v>
      </c>
    </row>
    <row r="290" spans="1:17" x14ac:dyDescent="0.2">
      <c r="A290" s="15" t="s">
        <v>1523</v>
      </c>
      <c r="B290" s="15" t="s">
        <v>14</v>
      </c>
      <c r="C290" s="8" t="s">
        <v>222</v>
      </c>
      <c r="D290" s="13">
        <v>0</v>
      </c>
      <c r="E290" s="13">
        <v>0</v>
      </c>
      <c r="F290" s="13">
        <v>0</v>
      </c>
      <c r="G290" s="13">
        <v>0</v>
      </c>
      <c r="H290" s="13">
        <v>0</v>
      </c>
      <c r="I290" s="13">
        <v>0</v>
      </c>
      <c r="J290" s="13">
        <v>12</v>
      </c>
      <c r="K290" s="13">
        <v>0</v>
      </c>
      <c r="L290" s="13">
        <v>0</v>
      </c>
      <c r="M290" s="13">
        <v>0</v>
      </c>
      <c r="N290" s="13"/>
      <c r="O290" s="13"/>
      <c r="P290" s="19">
        <f t="shared" si="13"/>
        <v>12</v>
      </c>
      <c r="Q290" s="19">
        <f ca="1">P290-IFERROR(SMALL(D290:INDIRECT(ADDRESS(ROW(),4+Settings[Value])), 1),0)-IFERROR(SMALL(D290:INDIRECT(ADDRESS(ROW(),4+Settings[Value])),2),0)</f>
        <v>12</v>
      </c>
    </row>
    <row r="291" spans="1:17" x14ac:dyDescent="0.2">
      <c r="A291" s="15" t="s">
        <v>1757</v>
      </c>
      <c r="B291" s="15" t="s">
        <v>1758</v>
      </c>
      <c r="C291" s="8" t="s">
        <v>504</v>
      </c>
      <c r="D291" s="13">
        <v>0</v>
      </c>
      <c r="E291" s="13">
        <v>0</v>
      </c>
      <c r="F291" s="13">
        <v>0</v>
      </c>
      <c r="G291" s="13">
        <v>0</v>
      </c>
      <c r="H291" s="13">
        <v>0</v>
      </c>
      <c r="I291" s="13">
        <v>0</v>
      </c>
      <c r="J291" s="13">
        <v>0</v>
      </c>
      <c r="K291" s="13">
        <v>11</v>
      </c>
      <c r="L291" s="13">
        <v>0</v>
      </c>
      <c r="M291" s="13">
        <v>0</v>
      </c>
      <c r="N291" s="13"/>
      <c r="O291" s="13"/>
      <c r="P291" s="19">
        <f t="shared" si="13"/>
        <v>11</v>
      </c>
      <c r="Q291" s="19">
        <f ca="1">P291-IFERROR(SMALL(D291:INDIRECT(ADDRESS(ROW(),4+Settings[Value])), 1),0)-IFERROR(SMALL(D291:INDIRECT(ADDRESS(ROW(),4+Settings[Value])),2),0)</f>
        <v>11</v>
      </c>
    </row>
    <row r="292" spans="1:17" x14ac:dyDescent="0.2">
      <c r="A292" s="15" t="s">
        <v>875</v>
      </c>
      <c r="B292" s="15" t="s">
        <v>1005</v>
      </c>
      <c r="C292" s="8" t="s">
        <v>38</v>
      </c>
      <c r="D292" s="13">
        <v>0</v>
      </c>
      <c r="E292" s="13">
        <v>0</v>
      </c>
      <c r="F292" s="13">
        <v>0</v>
      </c>
      <c r="G292" s="13">
        <v>0</v>
      </c>
      <c r="H292" s="13">
        <v>0</v>
      </c>
      <c r="I292" s="13">
        <v>0</v>
      </c>
      <c r="J292" s="13">
        <v>0</v>
      </c>
      <c r="K292" s="13">
        <v>0</v>
      </c>
      <c r="L292" s="13">
        <v>0</v>
      </c>
      <c r="M292" s="13">
        <v>11</v>
      </c>
      <c r="N292" s="13"/>
      <c r="O292" s="13"/>
      <c r="P292" s="19">
        <f t="shared" si="13"/>
        <v>11</v>
      </c>
      <c r="Q292" s="19">
        <f ca="1">P292-IFERROR(SMALL(D292:INDIRECT(ADDRESS(ROW(),4+Settings[Value])), 1),0)-IFERROR(SMALL(D292:INDIRECT(ADDRESS(ROW(),4+Settings[Value])),2),0)</f>
        <v>11</v>
      </c>
    </row>
    <row r="293" spans="1:17" x14ac:dyDescent="0.2">
      <c r="A293" s="15" t="s">
        <v>388</v>
      </c>
      <c r="B293" s="15" t="s">
        <v>33</v>
      </c>
      <c r="C293" s="8" t="s">
        <v>389</v>
      </c>
      <c r="D293" s="13">
        <v>9</v>
      </c>
      <c r="E293" s="13">
        <v>0</v>
      </c>
      <c r="F293" s="13">
        <v>1</v>
      </c>
      <c r="G293" s="13">
        <v>0</v>
      </c>
      <c r="H293" s="13">
        <v>0</v>
      </c>
      <c r="I293" s="13">
        <v>0</v>
      </c>
      <c r="J293" s="13">
        <v>0</v>
      </c>
      <c r="K293" s="13">
        <v>0</v>
      </c>
      <c r="L293" s="13">
        <v>0</v>
      </c>
      <c r="M293" s="13">
        <v>0</v>
      </c>
      <c r="N293" s="13"/>
      <c r="O293" s="13"/>
      <c r="P293" s="19">
        <f t="shared" si="13"/>
        <v>10</v>
      </c>
      <c r="Q293" s="13">
        <f ca="1">P293-IFERROR(SMALL(D293:INDIRECT(ADDRESS(ROW(),4+Settings[Value])), 1),0)-IFERROR(SMALL(D293:INDIRECT(ADDRESS(ROW(),4+Settings[Value])),2),0)</f>
        <v>10</v>
      </c>
    </row>
    <row r="294" spans="1:17" x14ac:dyDescent="0.2">
      <c r="A294" s="15" t="s">
        <v>94</v>
      </c>
      <c r="B294" s="15" t="s">
        <v>394</v>
      </c>
      <c r="C294" s="20" t="s">
        <v>91</v>
      </c>
      <c r="D294" s="13">
        <v>7</v>
      </c>
      <c r="E294" s="13">
        <v>0</v>
      </c>
      <c r="F294" s="13">
        <v>0</v>
      </c>
      <c r="G294" s="13">
        <v>0</v>
      </c>
      <c r="H294" s="13">
        <v>3</v>
      </c>
      <c r="I294" s="13">
        <v>0</v>
      </c>
      <c r="J294" s="13">
        <v>0</v>
      </c>
      <c r="K294" s="13">
        <v>0</v>
      </c>
      <c r="L294" s="13">
        <v>0</v>
      </c>
      <c r="M294" s="13">
        <v>0</v>
      </c>
      <c r="N294" s="13"/>
      <c r="O294" s="13"/>
      <c r="P294" s="13">
        <f t="shared" si="13"/>
        <v>10</v>
      </c>
      <c r="Q294" s="13">
        <f ca="1">P294-IFERROR(SMALL(D294:INDIRECT(ADDRESS(ROW(),4+Settings[Value])), 1),0)-IFERROR(SMALL(D294:INDIRECT(ADDRESS(ROW(),4+Settings[Value])),2),0)</f>
        <v>10</v>
      </c>
    </row>
    <row r="295" spans="1:17" x14ac:dyDescent="0.2">
      <c r="A295" s="15" t="s">
        <v>2049</v>
      </c>
      <c r="B295" s="15" t="s">
        <v>7</v>
      </c>
      <c r="C295" s="8" t="s">
        <v>18</v>
      </c>
      <c r="D295" s="13">
        <v>0</v>
      </c>
      <c r="E295" s="13">
        <v>0</v>
      </c>
      <c r="F295" s="13">
        <v>0</v>
      </c>
      <c r="G295" s="13">
        <v>0</v>
      </c>
      <c r="H295" s="13">
        <v>0</v>
      </c>
      <c r="I295" s="13">
        <v>0</v>
      </c>
      <c r="J295" s="13">
        <v>0</v>
      </c>
      <c r="K295" s="13">
        <v>0</v>
      </c>
      <c r="L295" s="13">
        <v>0</v>
      </c>
      <c r="M295" s="13">
        <v>10</v>
      </c>
      <c r="N295" s="13"/>
      <c r="O295" s="13"/>
      <c r="P295" s="19">
        <f t="shared" si="13"/>
        <v>10</v>
      </c>
      <c r="Q295" s="19">
        <f ca="1">P295-IFERROR(SMALL(D295:INDIRECT(ADDRESS(ROW(),4+Settings[Value])), 1),0)-IFERROR(SMALL(D295:INDIRECT(ADDRESS(ROW(),4+Settings[Value])),2),0)</f>
        <v>10</v>
      </c>
    </row>
    <row r="296" spans="1:17" x14ac:dyDescent="0.2">
      <c r="A296" s="15" t="s">
        <v>968</v>
      </c>
      <c r="B296" s="15" t="s">
        <v>383</v>
      </c>
      <c r="C296" s="8" t="s">
        <v>18</v>
      </c>
      <c r="D296" s="13">
        <v>0</v>
      </c>
      <c r="E296" s="13">
        <v>0</v>
      </c>
      <c r="F296" s="13">
        <v>7</v>
      </c>
      <c r="G296" s="13">
        <v>0</v>
      </c>
      <c r="H296" s="13">
        <v>0</v>
      </c>
      <c r="I296" s="13">
        <v>0</v>
      </c>
      <c r="J296" s="13">
        <v>0</v>
      </c>
      <c r="K296" s="13">
        <v>0</v>
      </c>
      <c r="L296" s="13">
        <v>0</v>
      </c>
      <c r="M296" s="13">
        <v>0</v>
      </c>
      <c r="N296" s="13"/>
      <c r="O296" s="13"/>
      <c r="P296" s="19">
        <f t="shared" si="13"/>
        <v>7</v>
      </c>
      <c r="Q296" s="13">
        <f ca="1">P296-IFERROR(SMALL(D296:INDIRECT(ADDRESS(ROW(),4+Settings[Value])), 1),0)-IFERROR(SMALL(D296:INDIRECT(ADDRESS(ROW(),4+Settings[Value])),2),0)</f>
        <v>7</v>
      </c>
    </row>
    <row r="297" spans="1:17" x14ac:dyDescent="0.2">
      <c r="A297" s="15" t="s">
        <v>1225</v>
      </c>
      <c r="B297" s="15" t="s">
        <v>174</v>
      </c>
      <c r="C297" s="8" t="s">
        <v>18</v>
      </c>
      <c r="D297" s="13">
        <v>0</v>
      </c>
      <c r="E297" s="13">
        <v>0</v>
      </c>
      <c r="F297" s="13">
        <v>0</v>
      </c>
      <c r="G297" s="13">
        <v>0</v>
      </c>
      <c r="H297" s="13">
        <v>4</v>
      </c>
      <c r="I297" s="13">
        <v>0</v>
      </c>
      <c r="J297" s="13">
        <v>0</v>
      </c>
      <c r="K297" s="13">
        <v>0</v>
      </c>
      <c r="L297" s="13">
        <v>0</v>
      </c>
      <c r="M297" s="13">
        <v>0</v>
      </c>
      <c r="N297" s="13"/>
      <c r="O297" s="13"/>
      <c r="P297" s="19">
        <f t="shared" si="13"/>
        <v>4</v>
      </c>
      <c r="Q297" s="19">
        <f ca="1">P297-IFERROR(SMALL(D297:INDIRECT(ADDRESS(ROW(),4+Settings[Value])), 1),0)-IFERROR(SMALL(D297:INDIRECT(ADDRESS(ROW(),4+Settings[Value])),2),0)</f>
        <v>4</v>
      </c>
    </row>
    <row r="298" spans="1:17" x14ac:dyDescent="0.2">
      <c r="A298" s="15" t="s">
        <v>974</v>
      </c>
      <c r="B298" s="15" t="s">
        <v>975</v>
      </c>
      <c r="C298" s="8" t="s">
        <v>313</v>
      </c>
      <c r="D298" s="13">
        <v>0</v>
      </c>
      <c r="E298" s="13">
        <v>0</v>
      </c>
      <c r="F298" s="13">
        <v>3</v>
      </c>
      <c r="G298" s="13">
        <v>0</v>
      </c>
      <c r="H298" s="13">
        <v>0</v>
      </c>
      <c r="I298" s="13">
        <v>0</v>
      </c>
      <c r="J298" s="13">
        <v>0</v>
      </c>
      <c r="K298" s="13">
        <v>0</v>
      </c>
      <c r="L298" s="13">
        <v>0</v>
      </c>
      <c r="M298" s="13">
        <v>0</v>
      </c>
      <c r="N298" s="13"/>
      <c r="O298" s="13"/>
      <c r="P298" s="19">
        <f t="shared" si="13"/>
        <v>3</v>
      </c>
      <c r="Q298" s="13">
        <f ca="1">P298-IFERROR(SMALL(D298:INDIRECT(ADDRESS(ROW(),4+Settings[Value])), 1),0)-IFERROR(SMALL(D298:INDIRECT(ADDRESS(ROW(),4+Settings[Value])),2),0)</f>
        <v>3</v>
      </c>
    </row>
    <row r="299" spans="1:17" x14ac:dyDescent="0.2">
      <c r="A299" s="15" t="s">
        <v>309</v>
      </c>
      <c r="B299" s="15" t="s">
        <v>310</v>
      </c>
      <c r="C299" s="8" t="s">
        <v>689</v>
      </c>
      <c r="D299" s="13">
        <v>0</v>
      </c>
      <c r="E299" s="13">
        <v>0</v>
      </c>
      <c r="F299" s="13">
        <v>2</v>
      </c>
      <c r="G299" s="13">
        <v>0</v>
      </c>
      <c r="H299" s="13">
        <v>0</v>
      </c>
      <c r="I299" s="13">
        <v>0</v>
      </c>
      <c r="J299" s="13">
        <v>0</v>
      </c>
      <c r="K299" s="13">
        <v>0</v>
      </c>
      <c r="L299" s="13">
        <v>0</v>
      </c>
      <c r="M299" s="13">
        <v>0</v>
      </c>
      <c r="N299" s="13"/>
      <c r="O299" s="13"/>
      <c r="P299" s="19">
        <f t="shared" si="13"/>
        <v>2</v>
      </c>
      <c r="Q299" s="13">
        <f ca="1">P299-IFERROR(SMALL(D299:INDIRECT(ADDRESS(ROW(),4+Settings[Value])), 1),0)-IFERROR(SMALL(D299:INDIRECT(ADDRESS(ROW(),4+Settings[Value])),2),0)</f>
        <v>2</v>
      </c>
    </row>
    <row r="300" spans="1:17" x14ac:dyDescent="0.2">
      <c r="A300" s="16"/>
      <c r="B300" s="16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22"/>
      <c r="Q300" s="22"/>
    </row>
    <row r="301" spans="1:17" x14ac:dyDescent="0.2">
      <c r="A301" s="16"/>
      <c r="B301" s="16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22"/>
      <c r="Q301" s="22"/>
    </row>
    <row r="302" spans="1:17" ht="13.5" thickBot="1" x14ac:dyDescent="0.25">
      <c r="A302" s="10" t="s">
        <v>399</v>
      </c>
    </row>
    <row r="303" spans="1:17" ht="13.5" thickTop="1" x14ac:dyDescent="0.2">
      <c r="A303" s="11" t="s">
        <v>1</v>
      </c>
      <c r="B303" s="11" t="s">
        <v>2</v>
      </c>
      <c r="C303" s="11" t="s">
        <v>3</v>
      </c>
      <c r="D303" s="12" t="s">
        <v>461</v>
      </c>
      <c r="E303" s="12" t="s">
        <v>462</v>
      </c>
      <c r="F303" s="12" t="s">
        <v>463</v>
      </c>
      <c r="G303" s="12" t="s">
        <v>464</v>
      </c>
      <c r="H303" s="12" t="s">
        <v>465</v>
      </c>
      <c r="I303" s="12" t="s">
        <v>466</v>
      </c>
      <c r="J303" s="12" t="s">
        <v>467</v>
      </c>
      <c r="K303" s="12" t="s">
        <v>468</v>
      </c>
      <c r="L303" s="12" t="s">
        <v>469</v>
      </c>
      <c r="M303" s="12" t="s">
        <v>470</v>
      </c>
      <c r="N303" s="12" t="s">
        <v>471</v>
      </c>
      <c r="O303" s="12" t="s">
        <v>472</v>
      </c>
      <c r="P303" s="12" t="s">
        <v>460</v>
      </c>
      <c r="Q303" s="12" t="s">
        <v>500</v>
      </c>
    </row>
    <row r="304" spans="1:17" x14ac:dyDescent="0.2">
      <c r="A304" s="15" t="s">
        <v>400</v>
      </c>
      <c r="B304" s="15" t="s">
        <v>401</v>
      </c>
      <c r="C304" s="18" t="s">
        <v>290</v>
      </c>
      <c r="D304" s="13">
        <v>19</v>
      </c>
      <c r="E304" s="13">
        <v>19</v>
      </c>
      <c r="F304" s="13">
        <v>18</v>
      </c>
      <c r="G304" s="13">
        <v>19</v>
      </c>
      <c r="H304" s="13">
        <v>15</v>
      </c>
      <c r="I304" s="13">
        <v>20</v>
      </c>
      <c r="J304" s="13">
        <v>18</v>
      </c>
      <c r="K304" s="13">
        <v>17</v>
      </c>
      <c r="L304" s="13">
        <v>20</v>
      </c>
      <c r="M304" s="13">
        <v>0</v>
      </c>
      <c r="N304" s="13"/>
      <c r="O304" s="13"/>
      <c r="P304" s="19">
        <f t="shared" ref="P304:P312" si="14">SUM(D304:O304)</f>
        <v>165</v>
      </c>
      <c r="Q304" s="9">
        <f ca="1">P304-IFERROR(SMALL(D304:INDIRECT(ADDRESS(ROW(),4+Settings[Value])), 1),0)-IFERROR(SMALL(D304:INDIRECT(ADDRESS(ROW(),4+Settings[Value])),2),0)</f>
        <v>150</v>
      </c>
    </row>
    <row r="305" spans="1:17" x14ac:dyDescent="0.2">
      <c r="A305" s="15" t="s">
        <v>354</v>
      </c>
      <c r="B305" s="15" t="s">
        <v>81</v>
      </c>
      <c r="C305" s="18" t="s">
        <v>91</v>
      </c>
      <c r="D305" s="13">
        <v>18</v>
      </c>
      <c r="E305" s="13">
        <v>16</v>
      </c>
      <c r="F305" s="13">
        <v>16</v>
      </c>
      <c r="G305" s="13">
        <v>17</v>
      </c>
      <c r="H305" s="13">
        <v>13</v>
      </c>
      <c r="I305" s="13">
        <v>19</v>
      </c>
      <c r="J305" s="13">
        <v>0</v>
      </c>
      <c r="K305" s="13">
        <v>0</v>
      </c>
      <c r="L305" s="13">
        <v>18</v>
      </c>
      <c r="M305" s="13">
        <v>17</v>
      </c>
      <c r="N305" s="13"/>
      <c r="O305" s="13"/>
      <c r="P305" s="13">
        <f t="shared" si="14"/>
        <v>134</v>
      </c>
      <c r="Q305" s="13">
        <f ca="1">P305-IFERROR(SMALL(D305:INDIRECT(ADDRESS(ROW(),4+Settings[Value])), 1),0)-IFERROR(SMALL(D305:INDIRECT(ADDRESS(ROW(),4+Settings[Value])),2),0)</f>
        <v>134</v>
      </c>
    </row>
    <row r="306" spans="1:17" x14ac:dyDescent="0.2">
      <c r="A306" s="15" t="s">
        <v>396</v>
      </c>
      <c r="B306" s="15" t="s">
        <v>397</v>
      </c>
      <c r="C306" s="18" t="s">
        <v>88</v>
      </c>
      <c r="D306" s="13">
        <v>20</v>
      </c>
      <c r="E306" s="13">
        <v>20</v>
      </c>
      <c r="F306" s="13">
        <v>0</v>
      </c>
      <c r="G306" s="13">
        <v>18</v>
      </c>
      <c r="H306" s="13">
        <v>19</v>
      </c>
      <c r="I306" s="13">
        <v>0</v>
      </c>
      <c r="J306" s="13">
        <v>19</v>
      </c>
      <c r="K306" s="13">
        <v>18</v>
      </c>
      <c r="L306" s="13">
        <v>0</v>
      </c>
      <c r="M306" s="13">
        <v>0</v>
      </c>
      <c r="N306" s="13"/>
      <c r="O306" s="13"/>
      <c r="P306" s="13">
        <f t="shared" si="14"/>
        <v>114</v>
      </c>
      <c r="Q306" s="14">
        <f ca="1">P306-IFERROR(SMALL(D306:INDIRECT(ADDRESS(ROW(),4+Settings[Value])), 1),0)-IFERROR(SMALL(D306:INDIRECT(ADDRESS(ROW(),4+Settings[Value])),2),0)</f>
        <v>114</v>
      </c>
    </row>
    <row r="307" spans="1:17" x14ac:dyDescent="0.2">
      <c r="A307" s="15" t="s">
        <v>902</v>
      </c>
      <c r="B307" s="15" t="s">
        <v>903</v>
      </c>
      <c r="C307" s="18" t="s">
        <v>222</v>
      </c>
      <c r="D307" s="13">
        <v>0</v>
      </c>
      <c r="E307" s="13">
        <v>0</v>
      </c>
      <c r="F307" s="13">
        <v>0</v>
      </c>
      <c r="G307" s="13">
        <v>20</v>
      </c>
      <c r="H307" s="13">
        <v>16</v>
      </c>
      <c r="I307" s="13">
        <v>0</v>
      </c>
      <c r="J307" s="13">
        <v>0</v>
      </c>
      <c r="K307" s="13">
        <v>0</v>
      </c>
      <c r="L307" s="13">
        <v>0</v>
      </c>
      <c r="M307" s="13">
        <v>18</v>
      </c>
      <c r="N307" s="13"/>
      <c r="O307" s="13"/>
      <c r="P307" s="19">
        <f t="shared" si="14"/>
        <v>54</v>
      </c>
      <c r="Q307" s="19">
        <f ca="1">P307-IFERROR(SMALL(D307:INDIRECT(ADDRESS(ROW(),4+Settings[Value])), 1),0)-IFERROR(SMALL(D307:INDIRECT(ADDRESS(ROW(),4+Settings[Value])),2),0)</f>
        <v>54</v>
      </c>
    </row>
    <row r="308" spans="1:17" x14ac:dyDescent="0.2">
      <c r="A308" s="15" t="s">
        <v>916</v>
      </c>
      <c r="B308" s="15" t="s">
        <v>917</v>
      </c>
      <c r="C308" s="18" t="s">
        <v>49</v>
      </c>
      <c r="D308" s="13">
        <v>0</v>
      </c>
      <c r="E308" s="13">
        <v>0</v>
      </c>
      <c r="F308" s="13">
        <v>19</v>
      </c>
      <c r="G308" s="13">
        <v>0</v>
      </c>
      <c r="H308" s="13">
        <v>20</v>
      </c>
      <c r="I308" s="13">
        <v>0</v>
      </c>
      <c r="J308" s="13">
        <v>0</v>
      </c>
      <c r="K308" s="13">
        <v>0</v>
      </c>
      <c r="L308" s="13">
        <v>0</v>
      </c>
      <c r="M308" s="13">
        <v>0</v>
      </c>
      <c r="N308" s="13"/>
      <c r="O308" s="13"/>
      <c r="P308" s="19">
        <f t="shared" si="14"/>
        <v>39</v>
      </c>
      <c r="Q308" s="13">
        <f ca="1">P308-IFERROR(SMALL(D308:INDIRECT(ADDRESS(ROW(),4+Settings[Value])), 1),0)-IFERROR(SMALL(D308:INDIRECT(ADDRESS(ROW(),4+Settings[Value])),2),0)</f>
        <v>39</v>
      </c>
    </row>
    <row r="309" spans="1:17" x14ac:dyDescent="0.2">
      <c r="A309" s="15" t="s">
        <v>1728</v>
      </c>
      <c r="B309" s="15" t="s">
        <v>1727</v>
      </c>
      <c r="C309" s="18" t="s">
        <v>313</v>
      </c>
      <c r="D309" s="13">
        <v>0</v>
      </c>
      <c r="E309" s="13">
        <v>0</v>
      </c>
      <c r="F309" s="13">
        <v>0</v>
      </c>
      <c r="G309" s="13">
        <v>0</v>
      </c>
      <c r="H309" s="13">
        <v>0</v>
      </c>
      <c r="I309" s="13">
        <v>0</v>
      </c>
      <c r="J309" s="13">
        <v>0</v>
      </c>
      <c r="K309" s="13">
        <v>19</v>
      </c>
      <c r="L309" s="13">
        <v>0</v>
      </c>
      <c r="M309" s="13">
        <v>0</v>
      </c>
      <c r="N309" s="13"/>
      <c r="O309" s="13"/>
      <c r="P309" s="19">
        <f t="shared" si="14"/>
        <v>19</v>
      </c>
      <c r="Q309" s="19">
        <f ca="1">P309-IFERROR(SMALL(D309:INDIRECT(ADDRESS(ROW(),4+Settings[Value])), 1),0)-IFERROR(SMALL(D309:INDIRECT(ADDRESS(ROW(),4+Settings[Value])),2),0)</f>
        <v>19</v>
      </c>
    </row>
    <row r="310" spans="1:17" x14ac:dyDescent="0.2">
      <c r="A310" s="15" t="s">
        <v>193</v>
      </c>
      <c r="B310" s="15" t="s">
        <v>665</v>
      </c>
      <c r="C310" s="18" t="s">
        <v>442</v>
      </c>
      <c r="D310" s="13">
        <v>0</v>
      </c>
      <c r="E310" s="13">
        <v>17</v>
      </c>
      <c r="F310" s="13">
        <v>0</v>
      </c>
      <c r="G310" s="13">
        <v>0</v>
      </c>
      <c r="H310" s="13">
        <v>0</v>
      </c>
      <c r="I310" s="13">
        <v>0</v>
      </c>
      <c r="J310" s="13">
        <v>0</v>
      </c>
      <c r="K310" s="13">
        <v>0</v>
      </c>
      <c r="L310" s="13">
        <v>0</v>
      </c>
      <c r="M310" s="13">
        <v>0</v>
      </c>
      <c r="N310" s="13"/>
      <c r="O310" s="13"/>
      <c r="P310" s="19">
        <f t="shared" si="14"/>
        <v>17</v>
      </c>
      <c r="Q310" s="13">
        <f ca="1">P310-IFERROR(SMALL(D310:INDIRECT(ADDRESS(ROW(),4+Settings[Value])), 1),0)-IFERROR(SMALL(D310:INDIRECT(ADDRESS(ROW(),4+Settings[Value])),2),0)</f>
        <v>17</v>
      </c>
    </row>
    <row r="311" spans="1:17" x14ac:dyDescent="0.2">
      <c r="A311" s="15" t="s">
        <v>920</v>
      </c>
      <c r="B311" s="15" t="s">
        <v>921</v>
      </c>
      <c r="C311" s="18" t="s">
        <v>38</v>
      </c>
      <c r="D311" s="13">
        <v>0</v>
      </c>
      <c r="E311" s="13">
        <v>0</v>
      </c>
      <c r="F311" s="13">
        <v>17</v>
      </c>
      <c r="G311" s="13">
        <v>0</v>
      </c>
      <c r="H311" s="13">
        <v>0</v>
      </c>
      <c r="I311" s="13">
        <v>0</v>
      </c>
      <c r="J311" s="13">
        <v>0</v>
      </c>
      <c r="K311" s="13">
        <v>0</v>
      </c>
      <c r="L311" s="13">
        <v>0</v>
      </c>
      <c r="M311" s="13">
        <v>0</v>
      </c>
      <c r="N311" s="13"/>
      <c r="O311" s="13"/>
      <c r="P311" s="19">
        <f t="shared" si="14"/>
        <v>17</v>
      </c>
      <c r="Q311" s="13">
        <f ca="1">P311-IFERROR(SMALL(D311:INDIRECT(ADDRESS(ROW(),4+Settings[Value])), 1),0)-IFERROR(SMALL(D311:INDIRECT(ADDRESS(ROW(),4+Settings[Value])),2),0)</f>
        <v>17</v>
      </c>
    </row>
    <row r="312" spans="1:17" x14ac:dyDescent="0.2">
      <c r="A312" s="15" t="s">
        <v>1341</v>
      </c>
      <c r="B312" s="15" t="s">
        <v>70</v>
      </c>
      <c r="C312" s="18" t="s">
        <v>49</v>
      </c>
      <c r="D312" s="13">
        <v>0</v>
      </c>
      <c r="E312" s="13">
        <v>0</v>
      </c>
      <c r="F312" s="13">
        <v>0</v>
      </c>
      <c r="G312" s="13">
        <v>0</v>
      </c>
      <c r="H312" s="13">
        <v>17</v>
      </c>
      <c r="I312" s="13">
        <v>0</v>
      </c>
      <c r="J312" s="13">
        <v>0</v>
      </c>
      <c r="K312" s="13">
        <v>0</v>
      </c>
      <c r="L312" s="13">
        <v>0</v>
      </c>
      <c r="M312" s="13">
        <v>0</v>
      </c>
      <c r="N312" s="13"/>
      <c r="O312" s="13"/>
      <c r="P312" s="19">
        <f t="shared" si="14"/>
        <v>17</v>
      </c>
      <c r="Q312" s="19">
        <f ca="1">P312-IFERROR(SMALL(D312:INDIRECT(ADDRESS(ROW(),4+Settings[Value])), 1),0)-IFERROR(SMALL(D312:INDIRECT(ADDRESS(ROW(),4+Settings[Value])),2),0)</f>
        <v>17</v>
      </c>
    </row>
    <row r="313" spans="1:17" x14ac:dyDescent="0.2">
      <c r="A313" s="16"/>
      <c r="B313" s="16"/>
      <c r="C313" s="20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22"/>
      <c r="Q313" s="14"/>
    </row>
    <row r="314" spans="1:17" ht="13.5" thickBot="1" x14ac:dyDescent="0.25">
      <c r="A314" s="10" t="s">
        <v>405</v>
      </c>
      <c r="Q314" s="9"/>
    </row>
    <row r="315" spans="1:17" ht="13.5" thickTop="1" x14ac:dyDescent="0.2">
      <c r="A315" s="11" t="s">
        <v>1</v>
      </c>
      <c r="B315" s="11" t="s">
        <v>2</v>
      </c>
      <c r="C315" s="11" t="s">
        <v>3</v>
      </c>
      <c r="D315" s="12" t="s">
        <v>461</v>
      </c>
      <c r="E315" s="12" t="s">
        <v>462</v>
      </c>
      <c r="F315" s="12" t="s">
        <v>463</v>
      </c>
      <c r="G315" s="12" t="s">
        <v>464</v>
      </c>
      <c r="H315" s="12" t="s">
        <v>465</v>
      </c>
      <c r="I315" s="12" t="s">
        <v>466</v>
      </c>
      <c r="J315" s="12" t="s">
        <v>467</v>
      </c>
      <c r="K315" s="12" t="s">
        <v>468</v>
      </c>
      <c r="L315" s="12" t="s">
        <v>469</v>
      </c>
      <c r="M315" s="12" t="s">
        <v>470</v>
      </c>
      <c r="N315" s="12" t="s">
        <v>471</v>
      </c>
      <c r="O315" s="12" t="s">
        <v>472</v>
      </c>
      <c r="P315" s="12" t="s">
        <v>460</v>
      </c>
      <c r="Q315" s="12" t="s">
        <v>500</v>
      </c>
    </row>
    <row r="316" spans="1:17" x14ac:dyDescent="0.2">
      <c r="A316" s="15" t="s">
        <v>409</v>
      </c>
      <c r="B316" s="15" t="s">
        <v>225</v>
      </c>
      <c r="C316" s="18" t="s">
        <v>88</v>
      </c>
      <c r="D316" s="13">
        <v>18</v>
      </c>
      <c r="E316" s="13">
        <v>20</v>
      </c>
      <c r="F316" s="13">
        <v>17</v>
      </c>
      <c r="G316" s="13">
        <v>13</v>
      </c>
      <c r="H316" s="13">
        <v>15</v>
      </c>
      <c r="I316" s="13">
        <v>19</v>
      </c>
      <c r="J316" s="13">
        <v>18</v>
      </c>
      <c r="K316" s="13">
        <v>0</v>
      </c>
      <c r="L316" s="13">
        <v>19</v>
      </c>
      <c r="M316" s="13">
        <v>17</v>
      </c>
      <c r="N316" s="13"/>
      <c r="O316" s="13"/>
      <c r="P316" s="13">
        <f t="shared" ref="P316:P340" si="15">SUM(D316:O316)</f>
        <v>156</v>
      </c>
      <c r="Q316" s="14">
        <f ca="1">P316-IFERROR(SMALL(D316:INDIRECT(ADDRESS(ROW(),4+Settings[Value])), 1),0)-IFERROR(SMALL(D316:INDIRECT(ADDRESS(ROW(),4+Settings[Value])),2),0)</f>
        <v>143</v>
      </c>
    </row>
    <row r="317" spans="1:17" x14ac:dyDescent="0.2">
      <c r="A317" s="15" t="s">
        <v>411</v>
      </c>
      <c r="B317" s="15" t="s">
        <v>412</v>
      </c>
      <c r="C317" s="18" t="s">
        <v>413</v>
      </c>
      <c r="D317" s="13">
        <v>17</v>
      </c>
      <c r="E317" s="13">
        <v>19</v>
      </c>
      <c r="F317" s="13">
        <v>19</v>
      </c>
      <c r="G317" s="13">
        <v>14</v>
      </c>
      <c r="H317" s="13">
        <v>16</v>
      </c>
      <c r="I317" s="13">
        <v>0</v>
      </c>
      <c r="J317" s="13">
        <v>16</v>
      </c>
      <c r="K317" s="13">
        <v>0</v>
      </c>
      <c r="L317" s="13">
        <v>16</v>
      </c>
      <c r="M317" s="13">
        <v>15</v>
      </c>
      <c r="N317" s="13"/>
      <c r="O317" s="13"/>
      <c r="P317" s="13">
        <f t="shared" si="15"/>
        <v>132</v>
      </c>
      <c r="Q317" s="9">
        <f ca="1">P317-IFERROR(SMALL(D317:INDIRECT(ADDRESS(ROW(),4+Settings[Value])), 1),0)-IFERROR(SMALL(D317:INDIRECT(ADDRESS(ROW(),4+Settings[Value])),2),0)</f>
        <v>132</v>
      </c>
    </row>
    <row r="318" spans="1:17" x14ac:dyDescent="0.2">
      <c r="A318" s="15" t="s">
        <v>415</v>
      </c>
      <c r="B318" s="15" t="s">
        <v>23</v>
      </c>
      <c r="C318" s="18" t="s">
        <v>38</v>
      </c>
      <c r="D318" s="14">
        <v>16</v>
      </c>
      <c r="E318" s="14">
        <v>0</v>
      </c>
      <c r="F318" s="14">
        <v>15</v>
      </c>
      <c r="G318" s="14">
        <v>8</v>
      </c>
      <c r="H318" s="14">
        <v>13</v>
      </c>
      <c r="I318" s="14">
        <v>0</v>
      </c>
      <c r="J318" s="14">
        <v>15</v>
      </c>
      <c r="K318" s="14">
        <v>10</v>
      </c>
      <c r="L318" s="14">
        <v>0</v>
      </c>
      <c r="M318" s="14">
        <v>13</v>
      </c>
      <c r="N318" s="14"/>
      <c r="O318" s="14"/>
      <c r="P318" s="14">
        <f t="shared" si="15"/>
        <v>90</v>
      </c>
      <c r="Q318" s="14">
        <f ca="1">P318-IFERROR(SMALL(D318:INDIRECT(ADDRESS(ROW(),4+Settings[Value])), 1),0)-IFERROR(SMALL(D318:INDIRECT(ADDRESS(ROW(),4+Settings[Value])),2),0)</f>
        <v>90</v>
      </c>
    </row>
    <row r="319" spans="1:17" x14ac:dyDescent="0.2">
      <c r="A319" s="15" t="s">
        <v>406</v>
      </c>
      <c r="B319" s="15" t="s">
        <v>186</v>
      </c>
      <c r="C319" s="18" t="s">
        <v>407</v>
      </c>
      <c r="D319" s="14">
        <v>19</v>
      </c>
      <c r="E319" s="14">
        <v>0</v>
      </c>
      <c r="F319" s="14">
        <v>0</v>
      </c>
      <c r="G319" s="14">
        <v>0</v>
      </c>
      <c r="H319" s="14">
        <v>0</v>
      </c>
      <c r="I319" s="14">
        <v>20</v>
      </c>
      <c r="J319" s="14">
        <v>0</v>
      </c>
      <c r="K319" s="14">
        <v>19</v>
      </c>
      <c r="L319" s="14">
        <v>0</v>
      </c>
      <c r="M319" s="14">
        <v>19</v>
      </c>
      <c r="N319" s="14"/>
      <c r="O319" s="14"/>
      <c r="P319" s="14">
        <f t="shared" si="15"/>
        <v>77</v>
      </c>
      <c r="Q319" s="14">
        <f ca="1">P319-IFERROR(SMALL(D319:INDIRECT(ADDRESS(ROW(),4+Settings[Value])), 1),0)-IFERROR(SMALL(D319:INDIRECT(ADDRESS(ROW(),4+Settings[Value])),2),0)</f>
        <v>77</v>
      </c>
    </row>
    <row r="320" spans="1:17" x14ac:dyDescent="0.2">
      <c r="A320" s="15" t="s">
        <v>902</v>
      </c>
      <c r="B320" s="15" t="s">
        <v>318</v>
      </c>
      <c r="C320" s="18" t="s">
        <v>222</v>
      </c>
      <c r="D320" s="14">
        <v>0</v>
      </c>
      <c r="E320" s="14">
        <v>0</v>
      </c>
      <c r="F320" s="14">
        <v>18</v>
      </c>
      <c r="G320" s="14">
        <v>10</v>
      </c>
      <c r="H320" s="14">
        <v>9</v>
      </c>
      <c r="I320" s="14">
        <v>0</v>
      </c>
      <c r="J320" s="14">
        <v>0</v>
      </c>
      <c r="K320" s="14">
        <v>18</v>
      </c>
      <c r="L320" s="14">
        <v>0</v>
      </c>
      <c r="M320" s="14">
        <v>18</v>
      </c>
      <c r="N320" s="14"/>
      <c r="O320" s="14"/>
      <c r="P320" s="22">
        <f t="shared" si="15"/>
        <v>73</v>
      </c>
      <c r="Q320" s="14">
        <f ca="1">P320-IFERROR(SMALL(D320:INDIRECT(ADDRESS(ROW(),4+Settings[Value])), 1),0)-IFERROR(SMALL(D320:INDIRECT(ADDRESS(ROW(),4+Settings[Value])),2),0)</f>
        <v>73</v>
      </c>
    </row>
    <row r="321" spans="1:17" x14ac:dyDescent="0.2">
      <c r="A321" s="15" t="s">
        <v>417</v>
      </c>
      <c r="B321" s="15" t="s">
        <v>30</v>
      </c>
      <c r="C321" s="18" t="s">
        <v>418</v>
      </c>
      <c r="D321" s="14">
        <v>15</v>
      </c>
      <c r="E321" s="14">
        <v>0</v>
      </c>
      <c r="F321" s="14">
        <v>12</v>
      </c>
      <c r="G321" s="14">
        <v>0</v>
      </c>
      <c r="H321" s="14">
        <v>12</v>
      </c>
      <c r="I321" s="14">
        <v>0</v>
      </c>
      <c r="J321" s="14">
        <v>0</v>
      </c>
      <c r="K321" s="14">
        <v>0</v>
      </c>
      <c r="L321" s="14">
        <v>0</v>
      </c>
      <c r="M321" s="14">
        <v>14</v>
      </c>
      <c r="N321" s="14"/>
      <c r="O321" s="14"/>
      <c r="P321" s="14">
        <f t="shared" si="15"/>
        <v>53</v>
      </c>
      <c r="Q321" s="14">
        <f ca="1">P321-IFERROR(SMALL(D321:INDIRECT(ADDRESS(ROW(),4+Settings[Value])), 1),0)-IFERROR(SMALL(D321:INDIRECT(ADDRESS(ROW(),4+Settings[Value])),2),0)</f>
        <v>53</v>
      </c>
    </row>
    <row r="322" spans="1:17" x14ac:dyDescent="0.2">
      <c r="A322" s="15" t="s">
        <v>1231</v>
      </c>
      <c r="B322" s="15" t="s">
        <v>1232</v>
      </c>
      <c r="C322" s="18" t="s">
        <v>226</v>
      </c>
      <c r="D322" s="13">
        <v>0</v>
      </c>
      <c r="E322" s="13">
        <v>0</v>
      </c>
      <c r="F322" s="13">
        <v>0</v>
      </c>
      <c r="G322" s="13">
        <v>0</v>
      </c>
      <c r="H322" s="13">
        <v>19</v>
      </c>
      <c r="I322" s="13">
        <v>0</v>
      </c>
      <c r="J322" s="13">
        <v>0</v>
      </c>
      <c r="K322" s="13">
        <v>20</v>
      </c>
      <c r="L322" s="13">
        <v>0</v>
      </c>
      <c r="M322" s="13">
        <v>0</v>
      </c>
      <c r="N322" s="13"/>
      <c r="O322" s="13"/>
      <c r="P322" s="19">
        <f t="shared" si="15"/>
        <v>39</v>
      </c>
      <c r="Q322" s="19">
        <f ca="1">P322-IFERROR(SMALL(D322:INDIRECT(ADDRESS(ROW(),4+Settings[Value])), 1),0)-IFERROR(SMALL(D322:INDIRECT(ADDRESS(ROW(),4+Settings[Value])),2),0)</f>
        <v>39</v>
      </c>
    </row>
    <row r="323" spans="1:17" x14ac:dyDescent="0.2">
      <c r="A323" s="15" t="s">
        <v>1530</v>
      </c>
      <c r="B323" s="15" t="s">
        <v>733</v>
      </c>
      <c r="C323" s="18" t="s">
        <v>1531</v>
      </c>
      <c r="D323" s="13">
        <v>0</v>
      </c>
      <c r="E323" s="13">
        <v>0</v>
      </c>
      <c r="F323" s="13">
        <v>0</v>
      </c>
      <c r="G323" s="13">
        <v>0</v>
      </c>
      <c r="H323" s="13">
        <v>0</v>
      </c>
      <c r="I323" s="13">
        <v>0</v>
      </c>
      <c r="J323" s="13">
        <v>19</v>
      </c>
      <c r="K323" s="13">
        <v>17</v>
      </c>
      <c r="L323" s="13">
        <v>0</v>
      </c>
      <c r="M323" s="13">
        <v>0</v>
      </c>
      <c r="N323" s="13"/>
      <c r="O323" s="13"/>
      <c r="P323" s="19">
        <f t="shared" si="15"/>
        <v>36</v>
      </c>
      <c r="Q323" s="19">
        <f ca="1">P323-IFERROR(SMALL(D323:INDIRECT(ADDRESS(ROW(),4+Settings[Value])), 1),0)-IFERROR(SMALL(D323:INDIRECT(ADDRESS(ROW(),4+Settings[Value])),2),0)</f>
        <v>36</v>
      </c>
    </row>
    <row r="324" spans="1:17" x14ac:dyDescent="0.2">
      <c r="A324" s="15" t="s">
        <v>999</v>
      </c>
      <c r="B324" s="15" t="s">
        <v>174</v>
      </c>
      <c r="C324" s="18" t="s">
        <v>18</v>
      </c>
      <c r="D324" s="13">
        <v>0</v>
      </c>
      <c r="E324" s="13">
        <v>0</v>
      </c>
      <c r="F324" s="13">
        <v>11</v>
      </c>
      <c r="G324" s="13">
        <v>0</v>
      </c>
      <c r="H324" s="13">
        <v>10</v>
      </c>
      <c r="I324" s="13">
        <v>0</v>
      </c>
      <c r="J324" s="13">
        <v>0</v>
      </c>
      <c r="K324" s="13">
        <v>0</v>
      </c>
      <c r="L324" s="13">
        <v>0</v>
      </c>
      <c r="M324" s="13">
        <v>12</v>
      </c>
      <c r="N324" s="13"/>
      <c r="O324" s="13"/>
      <c r="P324" s="19">
        <f t="shared" si="15"/>
        <v>33</v>
      </c>
      <c r="Q324" s="13">
        <f ca="1">P324-IFERROR(SMALL(D324:INDIRECT(ADDRESS(ROW(),4+Settings[Value])), 1),0)-IFERROR(SMALL(D324:INDIRECT(ADDRESS(ROW(),4+Settings[Value])),2),0)</f>
        <v>33</v>
      </c>
    </row>
    <row r="325" spans="1:17" x14ac:dyDescent="0.2">
      <c r="A325" s="15" t="s">
        <v>675</v>
      </c>
      <c r="B325" s="15" t="s">
        <v>676</v>
      </c>
      <c r="C325" s="18" t="s">
        <v>345</v>
      </c>
      <c r="D325" s="13">
        <v>0</v>
      </c>
      <c r="E325" s="13">
        <v>16</v>
      </c>
      <c r="F325" s="13">
        <v>0</v>
      </c>
      <c r="G325" s="13">
        <v>0</v>
      </c>
      <c r="H325" s="13">
        <v>0</v>
      </c>
      <c r="I325" s="13">
        <v>0</v>
      </c>
      <c r="J325" s="13">
        <v>0</v>
      </c>
      <c r="K325" s="13">
        <v>0</v>
      </c>
      <c r="L325" s="13">
        <v>14</v>
      </c>
      <c r="M325" s="13">
        <v>0</v>
      </c>
      <c r="N325" s="13"/>
      <c r="O325" s="13"/>
      <c r="P325" s="19">
        <f t="shared" si="15"/>
        <v>30</v>
      </c>
      <c r="Q325" s="13">
        <f ca="1">P325-IFERROR(SMALL(D325:INDIRECT(ADDRESS(ROW(),4+Settings[Value])), 1),0)-IFERROR(SMALL(D325:INDIRECT(ADDRESS(ROW(),4+Settings[Value])),2),0)</f>
        <v>30</v>
      </c>
    </row>
    <row r="326" spans="1:17" x14ac:dyDescent="0.2">
      <c r="A326" s="15" t="s">
        <v>351</v>
      </c>
      <c r="B326" s="15" t="s">
        <v>996</v>
      </c>
      <c r="C326" s="18" t="s">
        <v>506</v>
      </c>
      <c r="D326" s="13">
        <v>0</v>
      </c>
      <c r="E326" s="13">
        <v>0</v>
      </c>
      <c r="F326" s="13">
        <v>13</v>
      </c>
      <c r="G326" s="13">
        <v>15</v>
      </c>
      <c r="H326" s="13">
        <v>0</v>
      </c>
      <c r="I326" s="13">
        <v>0</v>
      </c>
      <c r="J326" s="13">
        <v>0</v>
      </c>
      <c r="K326" s="13">
        <v>0</v>
      </c>
      <c r="L326" s="13">
        <v>0</v>
      </c>
      <c r="M326" s="13">
        <v>0</v>
      </c>
      <c r="N326" s="13"/>
      <c r="O326" s="13"/>
      <c r="P326" s="19">
        <f t="shared" si="15"/>
        <v>28</v>
      </c>
      <c r="Q326" s="13">
        <f ca="1">P326-IFERROR(SMALL(D326:INDIRECT(ADDRESS(ROW(),4+Settings[Value])), 1),0)-IFERROR(SMALL(D326:INDIRECT(ADDRESS(ROW(),4+Settings[Value])),2),0)</f>
        <v>28</v>
      </c>
    </row>
    <row r="327" spans="1:17" x14ac:dyDescent="0.2">
      <c r="A327" s="15" t="s">
        <v>1135</v>
      </c>
      <c r="B327" s="15" t="s">
        <v>983</v>
      </c>
      <c r="C327" s="18" t="s">
        <v>313</v>
      </c>
      <c r="D327" s="13">
        <v>0</v>
      </c>
      <c r="E327" s="13">
        <v>0</v>
      </c>
      <c r="F327" s="13">
        <v>0</v>
      </c>
      <c r="G327" s="13">
        <v>20</v>
      </c>
      <c r="H327" s="13">
        <v>0</v>
      </c>
      <c r="I327" s="13">
        <v>0</v>
      </c>
      <c r="J327" s="13">
        <v>0</v>
      </c>
      <c r="K327" s="13">
        <v>0</v>
      </c>
      <c r="L327" s="13">
        <v>0</v>
      </c>
      <c r="M327" s="13">
        <v>0</v>
      </c>
      <c r="N327" s="13"/>
      <c r="O327" s="13"/>
      <c r="P327" s="19">
        <f t="shared" si="15"/>
        <v>20</v>
      </c>
      <c r="Q327" s="19">
        <f ca="1">P327-IFERROR(SMALL(D327:INDIRECT(ADDRESS(ROW(),4+Settings[Value])), 1),0)-IFERROR(SMALL(D327:INDIRECT(ADDRESS(ROW(),4+Settings[Value])),2),0)</f>
        <v>20</v>
      </c>
    </row>
    <row r="328" spans="1:17" x14ac:dyDescent="0.2">
      <c r="A328" s="15" t="s">
        <v>669</v>
      </c>
      <c r="B328" s="15" t="s">
        <v>670</v>
      </c>
      <c r="C328" s="18" t="s">
        <v>451</v>
      </c>
      <c r="D328" s="13">
        <v>0</v>
      </c>
      <c r="E328" s="13">
        <v>18</v>
      </c>
      <c r="F328" s="13">
        <v>0</v>
      </c>
      <c r="G328" s="13">
        <v>0</v>
      </c>
      <c r="H328" s="13">
        <v>0</v>
      </c>
      <c r="I328" s="13">
        <v>0</v>
      </c>
      <c r="J328" s="13">
        <v>0</v>
      </c>
      <c r="K328" s="13">
        <v>0</v>
      </c>
      <c r="L328" s="13">
        <v>0</v>
      </c>
      <c r="M328" s="13">
        <v>0</v>
      </c>
      <c r="N328" s="13"/>
      <c r="O328" s="13"/>
      <c r="P328" s="19">
        <f t="shared" si="15"/>
        <v>18</v>
      </c>
      <c r="Q328" s="13">
        <f ca="1">P328-IFERROR(SMALL(D328:INDIRECT(ADDRESS(ROW(),4+Settings[Value])), 1),0)-IFERROR(SMALL(D328:INDIRECT(ADDRESS(ROW(),4+Settings[Value])),2),0)</f>
        <v>18</v>
      </c>
    </row>
    <row r="329" spans="1:17" x14ac:dyDescent="0.2">
      <c r="A329" s="15" t="s">
        <v>1140</v>
      </c>
      <c r="B329" s="15" t="s">
        <v>1141</v>
      </c>
      <c r="C329" s="18" t="s">
        <v>433</v>
      </c>
      <c r="D329" s="13">
        <v>0</v>
      </c>
      <c r="E329" s="13">
        <v>0</v>
      </c>
      <c r="F329" s="13">
        <v>0</v>
      </c>
      <c r="G329" s="13">
        <v>18</v>
      </c>
      <c r="H329" s="13">
        <v>0</v>
      </c>
      <c r="I329" s="13">
        <v>0</v>
      </c>
      <c r="J329" s="13">
        <v>0</v>
      </c>
      <c r="K329" s="13">
        <v>0</v>
      </c>
      <c r="L329" s="13">
        <v>0</v>
      </c>
      <c r="M329" s="13">
        <v>0</v>
      </c>
      <c r="N329" s="13"/>
      <c r="O329" s="13"/>
      <c r="P329" s="19">
        <f t="shared" si="15"/>
        <v>18</v>
      </c>
      <c r="Q329" s="19">
        <f ca="1">P329-IFERROR(SMALL(D329:INDIRECT(ADDRESS(ROW(),4+Settings[Value])), 1),0)-IFERROR(SMALL(D329:INDIRECT(ADDRESS(ROW(),4+Settings[Value])),2),0)</f>
        <v>18</v>
      </c>
    </row>
    <row r="330" spans="1:17" x14ac:dyDescent="0.2">
      <c r="A330" s="15" t="s">
        <v>1234</v>
      </c>
      <c r="B330" s="15" t="s">
        <v>1235</v>
      </c>
      <c r="C330" s="18" t="s">
        <v>1236</v>
      </c>
      <c r="D330" s="13">
        <v>0</v>
      </c>
      <c r="E330" s="13">
        <v>0</v>
      </c>
      <c r="F330" s="13">
        <v>0</v>
      </c>
      <c r="G330" s="13">
        <v>0</v>
      </c>
      <c r="H330" s="13">
        <v>18</v>
      </c>
      <c r="I330" s="13">
        <v>0</v>
      </c>
      <c r="J330" s="13">
        <v>0</v>
      </c>
      <c r="K330" s="13">
        <v>0</v>
      </c>
      <c r="L330" s="13">
        <v>0</v>
      </c>
      <c r="M330" s="13">
        <v>0</v>
      </c>
      <c r="N330" s="13"/>
      <c r="O330" s="13"/>
      <c r="P330" s="19">
        <f t="shared" si="15"/>
        <v>18</v>
      </c>
      <c r="Q330" s="19">
        <f ca="1">P330-IFERROR(SMALL(D330:INDIRECT(ADDRESS(ROW(),4+Settings[Value])), 1),0)-IFERROR(SMALL(D330:INDIRECT(ADDRESS(ROW(),4+Settings[Value])),2),0)</f>
        <v>18</v>
      </c>
    </row>
    <row r="331" spans="1:17" x14ac:dyDescent="0.2">
      <c r="A331" s="15" t="s">
        <v>673</v>
      </c>
      <c r="B331" s="15" t="s">
        <v>672</v>
      </c>
      <c r="C331" s="18" t="s">
        <v>226</v>
      </c>
      <c r="D331" s="13">
        <v>0</v>
      </c>
      <c r="E331" s="13">
        <v>17</v>
      </c>
      <c r="F331" s="13">
        <v>0</v>
      </c>
      <c r="G331" s="13">
        <v>0</v>
      </c>
      <c r="H331" s="13">
        <v>0</v>
      </c>
      <c r="I331" s="13">
        <v>0</v>
      </c>
      <c r="J331" s="13">
        <v>0</v>
      </c>
      <c r="K331" s="13">
        <v>0</v>
      </c>
      <c r="L331" s="13">
        <v>0</v>
      </c>
      <c r="M331" s="13">
        <v>0</v>
      </c>
      <c r="N331" s="13"/>
      <c r="O331" s="13"/>
      <c r="P331" s="19">
        <f t="shared" si="15"/>
        <v>17</v>
      </c>
      <c r="Q331" s="13">
        <f ca="1">P331-IFERROR(SMALL(D331:INDIRECT(ADDRESS(ROW(),4+Settings[Value])), 1),0)-IFERROR(SMALL(D331:INDIRECT(ADDRESS(ROW(),4+Settings[Value])),2),0)</f>
        <v>17</v>
      </c>
    </row>
    <row r="332" spans="1:17" x14ac:dyDescent="0.2">
      <c r="A332" s="15" t="s">
        <v>1238</v>
      </c>
      <c r="B332" s="15" t="s">
        <v>1239</v>
      </c>
      <c r="C332" s="18" t="s">
        <v>407</v>
      </c>
      <c r="D332" s="13">
        <v>0</v>
      </c>
      <c r="E332" s="13">
        <v>0</v>
      </c>
      <c r="F332" s="13">
        <v>0</v>
      </c>
      <c r="G332" s="13">
        <v>0</v>
      </c>
      <c r="H332" s="13">
        <v>17</v>
      </c>
      <c r="I332" s="13">
        <v>0</v>
      </c>
      <c r="J332" s="13">
        <v>0</v>
      </c>
      <c r="K332" s="13">
        <v>0</v>
      </c>
      <c r="L332" s="13">
        <v>0</v>
      </c>
      <c r="M332" s="13">
        <v>0</v>
      </c>
      <c r="N332" s="13"/>
      <c r="O332" s="13"/>
      <c r="P332" s="19">
        <f t="shared" si="15"/>
        <v>17</v>
      </c>
      <c r="Q332" s="19">
        <f ca="1">P332-IFERROR(SMALL(D332:INDIRECT(ADDRESS(ROW(),4+Settings[Value])), 1),0)-IFERROR(SMALL(D332:INDIRECT(ADDRESS(ROW(),4+Settings[Value])),2),0)</f>
        <v>17</v>
      </c>
    </row>
    <row r="333" spans="1:17" x14ac:dyDescent="0.2">
      <c r="A333" s="15" t="s">
        <v>1912</v>
      </c>
      <c r="B333" s="15" t="s">
        <v>132</v>
      </c>
      <c r="C333" s="18" t="s">
        <v>446</v>
      </c>
      <c r="D333" s="13">
        <v>0</v>
      </c>
      <c r="E333" s="13">
        <v>0</v>
      </c>
      <c r="F333" s="13">
        <v>0</v>
      </c>
      <c r="G333" s="13">
        <v>0</v>
      </c>
      <c r="H333" s="13">
        <v>0</v>
      </c>
      <c r="I333" s="13">
        <v>0</v>
      </c>
      <c r="J333" s="13">
        <v>0</v>
      </c>
      <c r="K333" s="13">
        <v>0</v>
      </c>
      <c r="L333" s="13">
        <v>17</v>
      </c>
      <c r="M333" s="13">
        <v>0</v>
      </c>
      <c r="N333" s="13"/>
      <c r="O333" s="13"/>
      <c r="P333" s="19">
        <f t="shared" si="15"/>
        <v>17</v>
      </c>
      <c r="Q333" s="19">
        <f ca="1">P333-IFERROR(SMALL(D333:INDIRECT(ADDRESS(ROW(),4+Settings[Value])), 1),0)-IFERROR(SMALL(D333:INDIRECT(ADDRESS(ROW(),4+Settings[Value])),2),0)</f>
        <v>17</v>
      </c>
    </row>
    <row r="334" spans="1:17" x14ac:dyDescent="0.2">
      <c r="A334" s="15" t="s">
        <v>1913</v>
      </c>
      <c r="B334" s="15" t="s">
        <v>1092</v>
      </c>
      <c r="C334" s="18" t="s">
        <v>1857</v>
      </c>
      <c r="D334" s="13">
        <v>0</v>
      </c>
      <c r="E334" s="13">
        <v>0</v>
      </c>
      <c r="F334" s="13">
        <v>0</v>
      </c>
      <c r="G334" s="13">
        <v>0</v>
      </c>
      <c r="H334" s="13">
        <v>0</v>
      </c>
      <c r="I334" s="13">
        <v>0</v>
      </c>
      <c r="J334" s="13">
        <v>0</v>
      </c>
      <c r="K334" s="13">
        <v>0</v>
      </c>
      <c r="L334" s="13">
        <v>15</v>
      </c>
      <c r="M334" s="13">
        <v>0</v>
      </c>
      <c r="N334" s="13"/>
      <c r="O334" s="13"/>
      <c r="P334" s="19">
        <f t="shared" si="15"/>
        <v>15</v>
      </c>
      <c r="Q334" s="19">
        <f ca="1">P334-IFERROR(SMALL(D334:INDIRECT(ADDRESS(ROW(),4+Settings[Value])), 1),0)-IFERROR(SMALL(D334:INDIRECT(ADDRESS(ROW(),4+Settings[Value])),2),0)</f>
        <v>15</v>
      </c>
    </row>
    <row r="335" spans="1:17" x14ac:dyDescent="0.2">
      <c r="A335" s="15" t="s">
        <v>420</v>
      </c>
      <c r="B335" s="15" t="s">
        <v>421</v>
      </c>
      <c r="C335" s="18" t="s">
        <v>422</v>
      </c>
      <c r="D335" s="13">
        <v>14</v>
      </c>
      <c r="E335" s="13">
        <v>0</v>
      </c>
      <c r="F335" s="13">
        <v>0</v>
      </c>
      <c r="G335" s="13">
        <v>0</v>
      </c>
      <c r="H335" s="13">
        <v>0</v>
      </c>
      <c r="I335" s="13">
        <v>0</v>
      </c>
      <c r="J335" s="13">
        <v>0</v>
      </c>
      <c r="K335" s="13">
        <v>0</v>
      </c>
      <c r="L335" s="13">
        <v>0</v>
      </c>
      <c r="M335" s="13">
        <v>0</v>
      </c>
      <c r="N335" s="13"/>
      <c r="O335" s="13"/>
      <c r="P335" s="13">
        <f t="shared" si="15"/>
        <v>14</v>
      </c>
      <c r="Q335" s="13">
        <f ca="1">P335-IFERROR(SMALL(D335:INDIRECT(ADDRESS(ROW(),4+Settings[Value])), 1),0)-IFERROR(SMALL(D335:INDIRECT(ADDRESS(ROW(),4+Settings[Value])),2),0)</f>
        <v>14</v>
      </c>
    </row>
    <row r="336" spans="1:17" x14ac:dyDescent="0.2">
      <c r="A336" s="15" t="s">
        <v>768</v>
      </c>
      <c r="B336" s="15" t="s">
        <v>116</v>
      </c>
      <c r="C336" s="18" t="s">
        <v>407</v>
      </c>
      <c r="D336" s="13">
        <v>0</v>
      </c>
      <c r="E336" s="13">
        <v>0</v>
      </c>
      <c r="F336" s="13">
        <v>0</v>
      </c>
      <c r="G336" s="13">
        <v>0</v>
      </c>
      <c r="H336" s="13">
        <v>14</v>
      </c>
      <c r="I336" s="13">
        <v>0</v>
      </c>
      <c r="J336" s="13">
        <v>0</v>
      </c>
      <c r="K336" s="13">
        <v>0</v>
      </c>
      <c r="L336" s="13">
        <v>0</v>
      </c>
      <c r="M336" s="13">
        <v>0</v>
      </c>
      <c r="N336" s="13"/>
      <c r="O336" s="13"/>
      <c r="P336" s="19">
        <f t="shared" si="15"/>
        <v>14</v>
      </c>
      <c r="Q336" s="19">
        <f ca="1">P336-IFERROR(SMALL(D336:INDIRECT(ADDRESS(ROW(),4+Settings[Value])), 1),0)-IFERROR(SMALL(D336:INDIRECT(ADDRESS(ROW(),4+Settings[Value])),2),0)</f>
        <v>14</v>
      </c>
    </row>
    <row r="337" spans="1:17" x14ac:dyDescent="0.2">
      <c r="A337" s="15" t="s">
        <v>383</v>
      </c>
      <c r="B337" s="15" t="s">
        <v>114</v>
      </c>
      <c r="C337" s="18" t="s">
        <v>1531</v>
      </c>
      <c r="D337" s="13">
        <v>0</v>
      </c>
      <c r="E337" s="13">
        <v>0</v>
      </c>
      <c r="F337" s="13">
        <v>0</v>
      </c>
      <c r="G337" s="13">
        <v>0</v>
      </c>
      <c r="H337" s="13">
        <v>0</v>
      </c>
      <c r="I337" s="13">
        <v>0</v>
      </c>
      <c r="J337" s="13">
        <v>14</v>
      </c>
      <c r="K337" s="13">
        <v>0</v>
      </c>
      <c r="L337" s="13">
        <v>0</v>
      </c>
      <c r="M337" s="13">
        <v>0</v>
      </c>
      <c r="N337" s="13"/>
      <c r="O337" s="13"/>
      <c r="P337" s="19">
        <f t="shared" si="15"/>
        <v>14</v>
      </c>
      <c r="Q337" s="19">
        <f ca="1">P337-IFERROR(SMALL(D337:INDIRECT(ADDRESS(ROW(),4+Settings[Value])), 1),0)-IFERROR(SMALL(D337:INDIRECT(ADDRESS(ROW(),4+Settings[Value])),2),0)</f>
        <v>14</v>
      </c>
    </row>
    <row r="338" spans="1:17" x14ac:dyDescent="0.2">
      <c r="A338" s="15" t="s">
        <v>1914</v>
      </c>
      <c r="B338" s="15" t="s">
        <v>1860</v>
      </c>
      <c r="C338" s="18" t="s">
        <v>1857</v>
      </c>
      <c r="D338" s="13">
        <v>0</v>
      </c>
      <c r="E338" s="13">
        <v>0</v>
      </c>
      <c r="F338" s="13">
        <v>0</v>
      </c>
      <c r="G338" s="13">
        <v>0</v>
      </c>
      <c r="H338" s="13">
        <v>0</v>
      </c>
      <c r="I338" s="13">
        <v>0</v>
      </c>
      <c r="J338" s="13">
        <v>0</v>
      </c>
      <c r="K338" s="13">
        <v>0</v>
      </c>
      <c r="L338" s="13">
        <v>13</v>
      </c>
      <c r="M338" s="13">
        <v>0</v>
      </c>
      <c r="N338" s="13"/>
      <c r="O338" s="13"/>
      <c r="P338" s="19">
        <f t="shared" si="15"/>
        <v>13</v>
      </c>
      <c r="Q338" s="19">
        <f ca="1">P338-IFERROR(SMALL(D338:INDIRECT(ADDRESS(ROW(),4+Settings[Value])), 1),0)-IFERROR(SMALL(D338:INDIRECT(ADDRESS(ROW(),4+Settings[Value])),2),0)</f>
        <v>13</v>
      </c>
    </row>
    <row r="339" spans="1:17" x14ac:dyDescent="0.2">
      <c r="A339" s="15" t="s">
        <v>1773</v>
      </c>
      <c r="B339" s="15" t="s">
        <v>1774</v>
      </c>
      <c r="C339" s="18" t="s">
        <v>230</v>
      </c>
      <c r="D339" s="13">
        <v>0</v>
      </c>
      <c r="E339" s="13">
        <v>0</v>
      </c>
      <c r="F339" s="13">
        <v>0</v>
      </c>
      <c r="G339" s="13">
        <v>0</v>
      </c>
      <c r="H339" s="13">
        <v>0</v>
      </c>
      <c r="I339" s="13">
        <v>0</v>
      </c>
      <c r="J339" s="13">
        <v>0</v>
      </c>
      <c r="K339" s="13">
        <v>11</v>
      </c>
      <c r="L339" s="13">
        <v>0</v>
      </c>
      <c r="M339" s="13">
        <v>0</v>
      </c>
      <c r="N339" s="13"/>
      <c r="O339" s="13"/>
      <c r="P339" s="19">
        <f t="shared" si="15"/>
        <v>11</v>
      </c>
      <c r="Q339" s="19">
        <f ca="1">P339-IFERROR(SMALL(D339:INDIRECT(ADDRESS(ROW(),4+Settings[Value])), 1),0)-IFERROR(SMALL(D339:INDIRECT(ADDRESS(ROW(),4+Settings[Value])),2),0)</f>
        <v>11</v>
      </c>
    </row>
    <row r="340" spans="1:17" x14ac:dyDescent="0.2">
      <c r="A340" s="15" t="s">
        <v>594</v>
      </c>
      <c r="B340" s="15" t="s">
        <v>595</v>
      </c>
      <c r="C340" s="18" t="s">
        <v>18</v>
      </c>
      <c r="D340" s="13">
        <v>0</v>
      </c>
      <c r="E340" s="13">
        <v>0</v>
      </c>
      <c r="F340" s="13">
        <v>0</v>
      </c>
      <c r="G340" s="13">
        <v>0</v>
      </c>
      <c r="H340" s="13">
        <v>0</v>
      </c>
      <c r="I340" s="13">
        <v>0</v>
      </c>
      <c r="J340" s="13">
        <v>0</v>
      </c>
      <c r="K340" s="13">
        <v>9</v>
      </c>
      <c r="L340" s="13">
        <v>0</v>
      </c>
      <c r="M340" s="13">
        <v>0</v>
      </c>
      <c r="N340" s="13"/>
      <c r="O340" s="13"/>
      <c r="P340" s="19">
        <f t="shared" si="15"/>
        <v>9</v>
      </c>
      <c r="Q340" s="19">
        <f ca="1">P340-IFERROR(SMALL(D340:INDIRECT(ADDRESS(ROW(),4+Settings[Value])), 1),0)-IFERROR(SMALL(D340:INDIRECT(ADDRESS(ROW(),4+Settings[Value])),2),0)</f>
        <v>9</v>
      </c>
    </row>
    <row r="341" spans="1:17" x14ac:dyDescent="0.2">
      <c r="A341" s="16"/>
      <c r="B341" s="16"/>
      <c r="C341" s="20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22"/>
      <c r="Q341" s="14"/>
    </row>
    <row r="342" spans="1:17" ht="13.5" thickBot="1" x14ac:dyDescent="0.25">
      <c r="A342" s="10" t="s">
        <v>426</v>
      </c>
      <c r="Q342" s="9"/>
    </row>
    <row r="343" spans="1:17" ht="13.5" thickTop="1" x14ac:dyDescent="0.2">
      <c r="A343" s="11" t="s">
        <v>1</v>
      </c>
      <c r="B343" s="11" t="s">
        <v>2</v>
      </c>
      <c r="C343" s="11" t="s">
        <v>3</v>
      </c>
      <c r="D343" s="12" t="s">
        <v>461</v>
      </c>
      <c r="E343" s="12" t="s">
        <v>462</v>
      </c>
      <c r="F343" s="12" t="s">
        <v>463</v>
      </c>
      <c r="G343" s="12" t="s">
        <v>464</v>
      </c>
      <c r="H343" s="12" t="s">
        <v>465</v>
      </c>
      <c r="I343" s="12" t="s">
        <v>466</v>
      </c>
      <c r="J343" s="12" t="s">
        <v>467</v>
      </c>
      <c r="K343" s="12" t="s">
        <v>468</v>
      </c>
      <c r="L343" s="12" t="s">
        <v>469</v>
      </c>
      <c r="M343" s="12" t="s">
        <v>470</v>
      </c>
      <c r="N343" s="12" t="s">
        <v>471</v>
      </c>
      <c r="O343" s="12" t="s">
        <v>472</v>
      </c>
      <c r="P343" s="12" t="s">
        <v>460</v>
      </c>
      <c r="Q343" s="12" t="s">
        <v>500</v>
      </c>
    </row>
    <row r="344" spans="1:17" x14ac:dyDescent="0.2">
      <c r="A344" s="15" t="s">
        <v>427</v>
      </c>
      <c r="B344" s="15" t="s">
        <v>428</v>
      </c>
      <c r="C344" s="18" t="s">
        <v>191</v>
      </c>
      <c r="D344" s="13">
        <v>19</v>
      </c>
      <c r="E344" s="13">
        <v>17</v>
      </c>
      <c r="F344" s="13">
        <v>16</v>
      </c>
      <c r="G344" s="13">
        <v>19</v>
      </c>
      <c r="H344" s="13">
        <v>16</v>
      </c>
      <c r="I344" s="13">
        <v>20</v>
      </c>
      <c r="J344" s="13">
        <v>19</v>
      </c>
      <c r="K344" s="13">
        <v>18</v>
      </c>
      <c r="L344" s="13">
        <v>0</v>
      </c>
      <c r="M344" s="13">
        <v>20</v>
      </c>
      <c r="N344" s="13"/>
      <c r="O344" s="13"/>
      <c r="P344" s="19">
        <f>SUM(D344:O344)</f>
        <v>164</v>
      </c>
      <c r="Q344" s="14">
        <f ca="1">P344-IFERROR(SMALL(D344:INDIRECT(ADDRESS(ROW(),4+Settings[Value])), 1),0)-IFERROR(SMALL(D344:INDIRECT(ADDRESS(ROW(),4+Settings[Value])),2),0)</f>
        <v>148</v>
      </c>
    </row>
    <row r="345" spans="1:17" x14ac:dyDescent="0.2">
      <c r="A345" s="15" t="s">
        <v>430</v>
      </c>
      <c r="B345" s="15" t="s">
        <v>431</v>
      </c>
      <c r="C345" s="18" t="s">
        <v>100</v>
      </c>
      <c r="D345" s="13">
        <v>18</v>
      </c>
      <c r="E345" s="13">
        <v>16</v>
      </c>
      <c r="F345" s="13">
        <v>13</v>
      </c>
      <c r="G345" s="13">
        <v>18</v>
      </c>
      <c r="H345" s="13">
        <v>12</v>
      </c>
      <c r="I345" s="13">
        <v>18</v>
      </c>
      <c r="J345" s="13">
        <v>14</v>
      </c>
      <c r="K345" s="13">
        <v>16</v>
      </c>
      <c r="L345" s="13">
        <v>20</v>
      </c>
      <c r="M345" s="13">
        <v>19</v>
      </c>
      <c r="N345" s="13"/>
      <c r="O345" s="13"/>
      <c r="P345" s="13">
        <f>SUM(D345:O345)</f>
        <v>164</v>
      </c>
      <c r="Q345" s="13">
        <f ca="1">P345-IFERROR(SMALL(D345:INDIRECT(ADDRESS(ROW(),4+Settings[Value])), 1),0)-IFERROR(SMALL(D345:INDIRECT(ADDRESS(ROW(),4+Settings[Value])),2),0)</f>
        <v>139</v>
      </c>
    </row>
    <row r="346" spans="1:17" x14ac:dyDescent="0.2">
      <c r="A346" s="15" t="s">
        <v>1360</v>
      </c>
      <c r="B346" s="15" t="s">
        <v>1361</v>
      </c>
      <c r="C346" s="15" t="s">
        <v>38</v>
      </c>
      <c r="D346" s="13">
        <v>0</v>
      </c>
      <c r="E346" s="13">
        <v>0</v>
      </c>
      <c r="F346" s="13">
        <v>0</v>
      </c>
      <c r="G346" s="13">
        <v>0</v>
      </c>
      <c r="H346" s="13">
        <v>13</v>
      </c>
      <c r="I346" s="13">
        <v>19</v>
      </c>
      <c r="J346" s="13">
        <v>13</v>
      </c>
      <c r="K346" s="13">
        <v>15</v>
      </c>
      <c r="L346" s="13">
        <v>19</v>
      </c>
      <c r="M346" s="13">
        <v>18</v>
      </c>
      <c r="N346" s="13"/>
      <c r="O346" s="13"/>
      <c r="P346" s="19">
        <f>SUM(D346:O346)</f>
        <v>97</v>
      </c>
      <c r="Q346" s="22">
        <f ca="1">P346-IFERROR(SMALL(D346:INDIRECT(ADDRESS(ROW(),4+Settings[Value])), 1),0)-IFERROR(SMALL(D346:INDIRECT(ADDRESS(ROW(),4+Settings[Value])),2),0)</f>
        <v>97</v>
      </c>
    </row>
    <row r="347" spans="1:17" x14ac:dyDescent="0.2">
      <c r="A347" s="15" t="s">
        <v>935</v>
      </c>
      <c r="B347" s="15" t="s">
        <v>936</v>
      </c>
      <c r="C347" s="15" t="s">
        <v>49</v>
      </c>
      <c r="D347" s="13">
        <v>0</v>
      </c>
      <c r="E347" s="13">
        <v>0</v>
      </c>
      <c r="F347" s="13">
        <v>15</v>
      </c>
      <c r="G347" s="13">
        <v>0</v>
      </c>
      <c r="H347" s="13">
        <v>15</v>
      </c>
      <c r="I347" s="13">
        <v>0</v>
      </c>
      <c r="J347" s="13">
        <v>16</v>
      </c>
      <c r="K347" s="13">
        <v>17</v>
      </c>
      <c r="L347" s="13">
        <v>0</v>
      </c>
      <c r="M347" s="13">
        <v>0</v>
      </c>
      <c r="N347" s="13"/>
      <c r="O347" s="13"/>
      <c r="P347" s="19">
        <f>SUM(D347:O347)</f>
        <v>63</v>
      </c>
      <c r="Q347" s="13">
        <f ca="1">P347-IFERROR(SMALL(D347:INDIRECT(ADDRESS(ROW(),4+Settings[Value])), 1),0)-IFERROR(SMALL(D347:INDIRECT(ADDRESS(ROW(),4+Settings[Value])),2),0)</f>
        <v>63</v>
      </c>
    </row>
    <row r="348" spans="1:17" x14ac:dyDescent="0.2">
      <c r="A348" s="15" t="s">
        <v>577</v>
      </c>
      <c r="B348" s="15" t="s">
        <v>680</v>
      </c>
      <c r="C348" s="15" t="s">
        <v>681</v>
      </c>
      <c r="D348" s="13">
        <v>0</v>
      </c>
      <c r="E348" s="13">
        <v>20</v>
      </c>
      <c r="F348" s="13">
        <v>20</v>
      </c>
      <c r="G348" s="13">
        <v>0</v>
      </c>
      <c r="H348" s="13">
        <v>20</v>
      </c>
      <c r="I348" s="13">
        <v>0</v>
      </c>
      <c r="J348" s="13">
        <v>0</v>
      </c>
      <c r="K348" s="13">
        <v>0</v>
      </c>
      <c r="L348" s="13">
        <v>0</v>
      </c>
      <c r="M348" s="13">
        <v>0</v>
      </c>
      <c r="N348" s="13"/>
      <c r="O348" s="13"/>
      <c r="P348" s="19">
        <f>SUM(D348:O348)</f>
        <v>60</v>
      </c>
      <c r="Q348" s="13">
        <f ca="1">P348-IFERROR(SMALL(D348:INDIRECT(ADDRESS(ROW(),4+Settings[Value])), 1),0)-IFERROR(SMALL(D348:INDIRECT(ADDRESS(ROW(),4+Settings[Value])),2),0)</f>
        <v>60</v>
      </c>
    </row>
    <row r="349" spans="1:17" x14ac:dyDescent="0.2">
      <c r="A349" s="15" t="s">
        <v>669</v>
      </c>
      <c r="B349" s="15" t="s">
        <v>684</v>
      </c>
      <c r="C349" s="15" t="s">
        <v>49</v>
      </c>
      <c r="D349" s="13">
        <v>0</v>
      </c>
      <c r="E349" s="13">
        <v>18</v>
      </c>
      <c r="F349" s="13">
        <v>0</v>
      </c>
      <c r="G349" s="13">
        <v>0</v>
      </c>
      <c r="H349" s="13">
        <v>18</v>
      </c>
      <c r="I349" s="13">
        <v>0</v>
      </c>
      <c r="J349" s="13">
        <v>0</v>
      </c>
      <c r="K349" s="13">
        <v>20</v>
      </c>
      <c r="L349" s="13">
        <v>0</v>
      </c>
      <c r="M349" s="13">
        <v>0</v>
      </c>
      <c r="N349" s="13"/>
      <c r="O349" s="13"/>
      <c r="P349" s="19">
        <f>SUM(D349:O349)</f>
        <v>56</v>
      </c>
      <c r="Q349" s="13">
        <f ca="1">P349-IFERROR(SMALL(D349:INDIRECT(ADDRESS(ROW(),4+Settings[Value])), 1),0)-IFERROR(SMALL(D349:INDIRECT(ADDRESS(ROW(),4+Settings[Value])),2),0)</f>
        <v>56</v>
      </c>
    </row>
    <row r="350" spans="1:17" x14ac:dyDescent="0.2">
      <c r="A350" s="15" t="s">
        <v>35</v>
      </c>
      <c r="B350" s="15" t="s">
        <v>424</v>
      </c>
      <c r="C350" s="18" t="s">
        <v>49</v>
      </c>
      <c r="D350" s="13">
        <v>20</v>
      </c>
      <c r="E350" s="13">
        <v>19</v>
      </c>
      <c r="F350" s="13">
        <v>0</v>
      </c>
      <c r="G350" s="13">
        <v>0</v>
      </c>
      <c r="H350" s="13">
        <v>0</v>
      </c>
      <c r="I350" s="13">
        <v>0</v>
      </c>
      <c r="J350" s="13">
        <v>0</v>
      </c>
      <c r="K350" s="13">
        <v>0</v>
      </c>
      <c r="L350" s="13">
        <v>0</v>
      </c>
      <c r="M350" s="13">
        <v>0</v>
      </c>
      <c r="N350" s="13"/>
      <c r="O350" s="13"/>
      <c r="P350" s="13">
        <f>SUM(D350:O350)</f>
        <v>39</v>
      </c>
      <c r="Q350" s="13">
        <f ca="1">P350-IFERROR(SMALL(D350:INDIRECT(ADDRESS(ROW(),4+Settings[Value])), 1),0)-IFERROR(SMALL(D350:INDIRECT(ADDRESS(ROW(),4+Settings[Value])),2),0)</f>
        <v>39</v>
      </c>
    </row>
    <row r="351" spans="1:17" x14ac:dyDescent="0.2">
      <c r="A351" s="15" t="s">
        <v>1161</v>
      </c>
      <c r="B351" s="15" t="s">
        <v>1162</v>
      </c>
      <c r="C351" s="15" t="s">
        <v>407</v>
      </c>
      <c r="D351" s="13">
        <v>0</v>
      </c>
      <c r="E351" s="13">
        <v>0</v>
      </c>
      <c r="F351" s="13">
        <v>0</v>
      </c>
      <c r="G351" s="13">
        <v>20</v>
      </c>
      <c r="H351" s="13">
        <v>0</v>
      </c>
      <c r="I351" s="13">
        <v>0</v>
      </c>
      <c r="J351" s="13">
        <v>0</v>
      </c>
      <c r="K351" s="13">
        <v>0</v>
      </c>
      <c r="L351" s="13">
        <v>0</v>
      </c>
      <c r="M351" s="13">
        <v>0</v>
      </c>
      <c r="N351" s="13"/>
      <c r="O351" s="13"/>
      <c r="P351" s="19">
        <f>SUM(D351:O351)</f>
        <v>20</v>
      </c>
      <c r="Q351" s="19">
        <f ca="1">P351-IFERROR(SMALL(D351:INDIRECT(ADDRESS(ROW(),4+Settings[Value])), 1),0)-IFERROR(SMALL(D351:INDIRECT(ADDRESS(ROW(),4+Settings[Value])),2),0)</f>
        <v>20</v>
      </c>
    </row>
    <row r="352" spans="1:17" x14ac:dyDescent="0.2">
      <c r="A352" s="15" t="s">
        <v>1350</v>
      </c>
      <c r="B352" s="15" t="s">
        <v>1351</v>
      </c>
      <c r="C352" s="15" t="s">
        <v>191</v>
      </c>
      <c r="D352" s="13">
        <v>0</v>
      </c>
      <c r="E352" s="13">
        <v>0</v>
      </c>
      <c r="F352" s="13">
        <v>0</v>
      </c>
      <c r="G352" s="13">
        <v>0</v>
      </c>
      <c r="H352" s="13">
        <v>19</v>
      </c>
      <c r="I352" s="13">
        <v>0</v>
      </c>
      <c r="J352" s="13">
        <v>0</v>
      </c>
      <c r="K352" s="13">
        <v>0</v>
      </c>
      <c r="L352" s="13">
        <v>0</v>
      </c>
      <c r="M352" s="13">
        <v>0</v>
      </c>
      <c r="N352" s="13"/>
      <c r="O352" s="13"/>
      <c r="P352" s="19">
        <f>SUM(D352:O352)</f>
        <v>19</v>
      </c>
      <c r="Q352" s="19">
        <f ca="1">P352-IFERROR(SMALL(D352:INDIRECT(ADDRESS(ROW(),4+Settings[Value])), 1),0)-IFERROR(SMALL(D352:INDIRECT(ADDRESS(ROW(),4+Settings[Value])),2),0)</f>
        <v>19</v>
      </c>
    </row>
    <row r="353" spans="1:17" x14ac:dyDescent="0.2">
      <c r="A353" s="15" t="s">
        <v>928</v>
      </c>
      <c r="B353" s="15" t="s">
        <v>929</v>
      </c>
      <c r="C353" s="15" t="s">
        <v>191</v>
      </c>
      <c r="D353" s="13">
        <v>0</v>
      </c>
      <c r="E353" s="13">
        <v>0</v>
      </c>
      <c r="F353" s="13">
        <v>18</v>
      </c>
      <c r="G353" s="13">
        <v>0</v>
      </c>
      <c r="H353" s="13">
        <v>0</v>
      </c>
      <c r="I353" s="13">
        <v>0</v>
      </c>
      <c r="J353" s="13">
        <v>0</v>
      </c>
      <c r="K353" s="13">
        <v>0</v>
      </c>
      <c r="L353" s="13">
        <v>0</v>
      </c>
      <c r="M353" s="13">
        <v>0</v>
      </c>
      <c r="N353" s="13"/>
      <c r="O353" s="13"/>
      <c r="P353" s="19">
        <f>SUM(D353:O353)</f>
        <v>18</v>
      </c>
      <c r="Q353" s="13">
        <f ca="1">P353-IFERROR(SMALL(D353:INDIRECT(ADDRESS(ROW(),4+Settings[Value])), 1),0)-IFERROR(SMALL(D353:INDIRECT(ADDRESS(ROW(),4+Settings[Value])),2),0)</f>
        <v>18</v>
      </c>
    </row>
    <row r="354" spans="1:17" x14ac:dyDescent="0.2">
      <c r="A354" s="15" t="s">
        <v>1646</v>
      </c>
      <c r="B354" s="15" t="s">
        <v>1647</v>
      </c>
      <c r="C354" s="15" t="s">
        <v>49</v>
      </c>
      <c r="D354" s="13">
        <v>0</v>
      </c>
      <c r="E354" s="13">
        <v>0</v>
      </c>
      <c r="F354" s="13">
        <v>0</v>
      </c>
      <c r="G354" s="13">
        <v>0</v>
      </c>
      <c r="H354" s="13">
        <v>0</v>
      </c>
      <c r="I354" s="13">
        <v>0</v>
      </c>
      <c r="J354" s="13">
        <v>17</v>
      </c>
      <c r="K354" s="13">
        <v>0</v>
      </c>
      <c r="L354" s="13">
        <v>0</v>
      </c>
      <c r="M354" s="13">
        <v>0</v>
      </c>
      <c r="N354" s="13"/>
      <c r="O354" s="13"/>
      <c r="P354" s="19">
        <f>SUM(D354:O354)</f>
        <v>17</v>
      </c>
      <c r="Q354" s="19">
        <f ca="1">P354-IFERROR(SMALL(D354:INDIRECT(ADDRESS(ROW(),4+Settings[Value])), 1),0)-IFERROR(SMALL(D354:INDIRECT(ADDRESS(ROW(),4+Settings[Value])),2),0)</f>
        <v>17</v>
      </c>
    </row>
    <row r="355" spans="1:17" x14ac:dyDescent="0.2">
      <c r="A355" s="15" t="s">
        <v>80</v>
      </c>
      <c r="B355" s="15" t="s">
        <v>1905</v>
      </c>
      <c r="C355" s="15" t="s">
        <v>100</v>
      </c>
      <c r="D355" s="13">
        <v>0</v>
      </c>
      <c r="E355" s="13">
        <v>0</v>
      </c>
      <c r="F355" s="13">
        <v>0</v>
      </c>
      <c r="G355" s="13">
        <v>0</v>
      </c>
      <c r="H355" s="13">
        <v>0</v>
      </c>
      <c r="I355" s="13">
        <v>0</v>
      </c>
      <c r="J355" s="13">
        <v>0</v>
      </c>
      <c r="K355" s="13">
        <v>0</v>
      </c>
      <c r="L355" s="13">
        <v>17</v>
      </c>
      <c r="M355" s="13">
        <v>0</v>
      </c>
      <c r="N355" s="13"/>
      <c r="O355" s="13"/>
      <c r="P355" s="19">
        <f>SUM(D355:O355)</f>
        <v>17</v>
      </c>
      <c r="Q355" s="19">
        <f ca="1">P355-IFERROR(SMALL(D355:INDIRECT(ADDRESS(ROW(),4+Settings[Value])), 1),0)-IFERROR(SMALL(D355:INDIRECT(ADDRESS(ROW(),4+Settings[Value])),2),0)</f>
        <v>17</v>
      </c>
    </row>
    <row r="356" spans="1:17" x14ac:dyDescent="0.2">
      <c r="A356" s="15" t="s">
        <v>732</v>
      </c>
      <c r="B356" s="15" t="s">
        <v>938</v>
      </c>
      <c r="C356" s="15" t="s">
        <v>100</v>
      </c>
      <c r="D356" s="13">
        <v>0</v>
      </c>
      <c r="E356" s="13">
        <v>0</v>
      </c>
      <c r="F356" s="13">
        <v>14</v>
      </c>
      <c r="G356" s="13">
        <v>0</v>
      </c>
      <c r="H356" s="13">
        <v>0</v>
      </c>
      <c r="I356" s="13">
        <v>0</v>
      </c>
      <c r="J356" s="13">
        <v>0</v>
      </c>
      <c r="K356" s="13">
        <v>0</v>
      </c>
      <c r="L356" s="13">
        <v>0</v>
      </c>
      <c r="M356" s="13">
        <v>0</v>
      </c>
      <c r="N356" s="13"/>
      <c r="O356" s="13"/>
      <c r="P356" s="19">
        <f>SUM(D356:O356)</f>
        <v>14</v>
      </c>
      <c r="Q356" s="13">
        <f ca="1">P356-IFERROR(SMALL(D356:INDIRECT(ADDRESS(ROW(),4+Settings[Value])), 1),0)-IFERROR(SMALL(D356:INDIRECT(ADDRESS(ROW(),4+Settings[Value])),2),0)</f>
        <v>14</v>
      </c>
    </row>
  </sheetData>
  <mergeCells count="2">
    <mergeCell ref="A1:Q1"/>
    <mergeCell ref="A2:Q2"/>
  </mergeCells>
  <conditionalFormatting sqref="C200 C202:C203 C271:C273 C275 C42:C58 C182:C197 C142:C152 C155:C179 C304:C313 C6:C39 C316:C341 C344:C356 C210:C240 C121:C135 C243:C260">
    <cfRule type="expression" dxfId="2198" priority="19">
      <formula>"COUNTIF(K3:K47,E4)&lt;1"</formula>
    </cfRule>
  </conditionalFormatting>
  <conditionalFormatting sqref="C138:C141">
    <cfRule type="expression" dxfId="2197" priority="16">
      <formula>"COUNTIF(K3:K47,E4)&lt;1"</formula>
    </cfRule>
  </conditionalFormatting>
  <conditionalFormatting sqref="C263:C273">
    <cfRule type="expression" dxfId="2196" priority="10">
      <formula>"COUNTIF(K3:K47,E4)&lt;1"</formula>
    </cfRule>
  </conditionalFormatting>
  <conditionalFormatting sqref="C201">
    <cfRule type="expression" dxfId="2195" priority="5">
      <formula>"COUNTIF(K3:K47,E4)&lt;1"</formula>
    </cfRule>
  </conditionalFormatting>
  <conditionalFormatting sqref="C274">
    <cfRule type="expression" dxfId="2194" priority="4">
      <formula>"COUNTIF(K3:K47,E4)&lt;1"</formula>
    </cfRule>
  </conditionalFormatting>
  <conditionalFormatting sqref="D1:O1048576">
    <cfRule type="cellIs" dxfId="2193" priority="3" operator="lessThan">
      <formula>1</formula>
    </cfRule>
  </conditionalFormatting>
  <pageMargins left="0.25" right="0.25" top="0.75" bottom="0.75" header="0.3" footer="0.3"/>
  <pageSetup scale="67" fitToHeight="0" orientation="landscape" horizontalDpi="4294967293" r:id="rId1"/>
  <tableParts count="1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668E9-C3E9-4CB6-A36C-5AB4DE6171A5}">
  <sheetPr codeName="Sheet2">
    <pageSetUpPr fitToPage="1"/>
  </sheetPr>
  <dimension ref="A1:H259"/>
  <sheetViews>
    <sheetView zoomScale="85" zoomScaleNormal="85" workbookViewId="0">
      <selection activeCell="E24" sqref="E24"/>
    </sheetView>
  </sheetViews>
  <sheetFormatPr defaultRowHeight="15" x14ac:dyDescent="0.25"/>
  <cols>
    <col min="2" max="2" width="17" customWidth="1"/>
    <col min="3" max="3" width="14.85546875" customWidth="1"/>
    <col min="4" max="4" width="12.28515625" customWidth="1"/>
    <col min="5" max="5" width="37.5703125" style="2" customWidth="1"/>
    <col min="6" max="6" width="15.140625" customWidth="1"/>
    <col min="7" max="7" width="21.140625" customWidth="1"/>
    <col min="11" max="11" width="42.7109375" bestFit="1" customWidth="1"/>
    <col min="14" max="14" width="8.42578125" bestFit="1" customWidth="1"/>
  </cols>
  <sheetData>
    <row r="1" spans="1:8" x14ac:dyDescent="0.25">
      <c r="A1" t="s">
        <v>0</v>
      </c>
      <c r="B1" t="s">
        <v>73</v>
      </c>
      <c r="C1" t="s">
        <v>1</v>
      </c>
      <c r="D1" t="s">
        <v>2</v>
      </c>
      <c r="E1" t="s">
        <v>3</v>
      </c>
      <c r="F1" s="2" t="s">
        <v>4</v>
      </c>
      <c r="G1" t="s">
        <v>5</v>
      </c>
      <c r="H1" t="s">
        <v>458</v>
      </c>
    </row>
    <row r="2" spans="1:8" x14ac:dyDescent="0.25">
      <c r="A2">
        <v>1</v>
      </c>
      <c r="B2">
        <f t="shared" ref="B2:B12" si="0">IF(H2=1,MAX(21-A2,0),0)</f>
        <v>20</v>
      </c>
      <c r="C2" t="s">
        <v>6</v>
      </c>
      <c r="D2" t="s">
        <v>7</v>
      </c>
      <c r="E2" t="s">
        <v>8</v>
      </c>
      <c r="F2" s="2" t="s">
        <v>50</v>
      </c>
      <c r="G2" t="s">
        <v>9</v>
      </c>
      <c r="H2">
        <f>COUNTIF(ValidTeams[],E2)</f>
        <v>1</v>
      </c>
    </row>
    <row r="3" spans="1:8" x14ac:dyDescent="0.25">
      <c r="A3">
        <v>2</v>
      </c>
      <c r="B3">
        <f t="shared" si="0"/>
        <v>19</v>
      </c>
      <c r="C3" t="s">
        <v>10</v>
      </c>
      <c r="D3" t="s">
        <v>11</v>
      </c>
      <c r="E3" t="s">
        <v>12</v>
      </c>
      <c r="F3" s="2" t="s">
        <v>51</v>
      </c>
      <c r="G3" t="s">
        <v>9</v>
      </c>
      <c r="H3">
        <f>COUNTIF(ValidTeams[],E3)</f>
        <v>1</v>
      </c>
    </row>
    <row r="4" spans="1:8" x14ac:dyDescent="0.25">
      <c r="A4">
        <v>3</v>
      </c>
      <c r="B4">
        <f t="shared" si="0"/>
        <v>18</v>
      </c>
      <c r="C4" t="s">
        <v>13</v>
      </c>
      <c r="D4" t="s">
        <v>14</v>
      </c>
      <c r="E4" t="s">
        <v>15</v>
      </c>
      <c r="F4" s="2" t="s">
        <v>52</v>
      </c>
      <c r="G4" t="s">
        <v>9</v>
      </c>
      <c r="H4">
        <f>COUNTIF(ValidTeams[],E4)</f>
        <v>1</v>
      </c>
    </row>
    <row r="5" spans="1:8" x14ac:dyDescent="0.25">
      <c r="A5">
        <v>4</v>
      </c>
      <c r="B5">
        <f t="shared" si="0"/>
        <v>17</v>
      </c>
      <c r="C5" t="s">
        <v>16</v>
      </c>
      <c r="D5" t="s">
        <v>17</v>
      </c>
      <c r="E5" t="s">
        <v>18</v>
      </c>
      <c r="F5" s="2" t="s">
        <v>53</v>
      </c>
      <c r="G5" t="s">
        <v>9</v>
      </c>
      <c r="H5">
        <f>COUNTIF(ValidTeams[],E5)</f>
        <v>1</v>
      </c>
    </row>
    <row r="6" spans="1:8" x14ac:dyDescent="0.25">
      <c r="A6">
        <v>5</v>
      </c>
      <c r="B6">
        <f t="shared" si="0"/>
        <v>0</v>
      </c>
      <c r="C6" t="s">
        <v>19</v>
      </c>
      <c r="D6" t="s">
        <v>20</v>
      </c>
      <c r="E6" t="s">
        <v>21</v>
      </c>
      <c r="F6" s="2" t="s">
        <v>54</v>
      </c>
      <c r="G6" t="s">
        <v>9</v>
      </c>
      <c r="H6">
        <f>COUNTIF(ValidTeams[],E6)</f>
        <v>0</v>
      </c>
    </row>
    <row r="7" spans="1:8" x14ac:dyDescent="0.25">
      <c r="A7">
        <v>6</v>
      </c>
      <c r="B7">
        <f t="shared" si="0"/>
        <v>15</v>
      </c>
      <c r="C7" t="s">
        <v>22</v>
      </c>
      <c r="D7" t="s">
        <v>23</v>
      </c>
      <c r="E7" t="s">
        <v>88</v>
      </c>
      <c r="F7" s="2" t="s">
        <v>55</v>
      </c>
      <c r="G7" t="s">
        <v>9</v>
      </c>
      <c r="H7">
        <f>COUNTIF(ValidTeams[],E7)</f>
        <v>1</v>
      </c>
    </row>
    <row r="8" spans="1:8" x14ac:dyDescent="0.25">
      <c r="A8">
        <v>7</v>
      </c>
      <c r="B8">
        <f t="shared" si="0"/>
        <v>14</v>
      </c>
      <c r="C8" t="s">
        <v>25</v>
      </c>
      <c r="D8" t="s">
        <v>24</v>
      </c>
      <c r="E8" t="s">
        <v>441</v>
      </c>
      <c r="F8" s="2" t="s">
        <v>56</v>
      </c>
      <c r="G8" t="s">
        <v>9</v>
      </c>
      <c r="H8">
        <f>COUNTIF(ValidTeams[],E8)</f>
        <v>1</v>
      </c>
    </row>
    <row r="9" spans="1:8" x14ac:dyDescent="0.25">
      <c r="A9">
        <v>8</v>
      </c>
      <c r="B9">
        <f t="shared" si="0"/>
        <v>13</v>
      </c>
      <c r="C9" t="s">
        <v>26</v>
      </c>
      <c r="D9" t="s">
        <v>27</v>
      </c>
      <c r="E9" t="s">
        <v>88</v>
      </c>
      <c r="F9" s="2" t="s">
        <v>57</v>
      </c>
      <c r="G9" t="s">
        <v>9</v>
      </c>
      <c r="H9">
        <f>COUNTIF(ValidTeams[],E9)</f>
        <v>1</v>
      </c>
    </row>
    <row r="10" spans="1:8" x14ac:dyDescent="0.25">
      <c r="A10">
        <v>9</v>
      </c>
      <c r="B10">
        <f t="shared" si="0"/>
        <v>12</v>
      </c>
      <c r="C10" t="s">
        <v>28</v>
      </c>
      <c r="D10" t="s">
        <v>20</v>
      </c>
      <c r="E10" t="s">
        <v>442</v>
      </c>
      <c r="F10" s="2" t="s">
        <v>58</v>
      </c>
      <c r="G10" t="s">
        <v>9</v>
      </c>
      <c r="H10">
        <f>COUNTIF(ValidTeams[],E10)</f>
        <v>1</v>
      </c>
    </row>
    <row r="11" spans="1:8" x14ac:dyDescent="0.25">
      <c r="A11">
        <v>10</v>
      </c>
      <c r="B11">
        <f t="shared" si="0"/>
        <v>11</v>
      </c>
      <c r="C11" t="s">
        <v>29</v>
      </c>
      <c r="D11" t="s">
        <v>30</v>
      </c>
      <c r="E11" t="s">
        <v>31</v>
      </c>
      <c r="F11" s="2" t="s">
        <v>59</v>
      </c>
      <c r="G11" t="s">
        <v>9</v>
      </c>
      <c r="H11">
        <f>COUNTIF(ValidTeams[],E11)</f>
        <v>1</v>
      </c>
    </row>
    <row r="12" spans="1:8" x14ac:dyDescent="0.25">
      <c r="A12">
        <v>11</v>
      </c>
      <c r="B12">
        <f t="shared" si="0"/>
        <v>10</v>
      </c>
      <c r="C12" t="s">
        <v>32</v>
      </c>
      <c r="D12" t="s">
        <v>33</v>
      </c>
      <c r="E12" t="s">
        <v>34</v>
      </c>
      <c r="F12" s="2" t="s">
        <v>60</v>
      </c>
      <c r="G12" t="s">
        <v>9</v>
      </c>
      <c r="H12">
        <f>COUNTIF(ValidTeams[],E12)</f>
        <v>1</v>
      </c>
    </row>
    <row r="14" spans="1:8" x14ac:dyDescent="0.25">
      <c r="A14" t="s">
        <v>0</v>
      </c>
      <c r="B14" t="s">
        <v>73</v>
      </c>
      <c r="C14" t="s">
        <v>1</v>
      </c>
      <c r="D14" t="s">
        <v>2</v>
      </c>
      <c r="E14" t="s">
        <v>3</v>
      </c>
      <c r="F14" s="2" t="s">
        <v>4</v>
      </c>
      <c r="G14" t="s">
        <v>5</v>
      </c>
      <c r="H14" t="s">
        <v>72</v>
      </c>
    </row>
    <row r="15" spans="1:8" x14ac:dyDescent="0.25">
      <c r="A15">
        <v>1</v>
      </c>
      <c r="B15">
        <f t="shared" ref="B15:B24" si="1">IF(H15=1,MAX(21-A15,0),0)</f>
        <v>20</v>
      </c>
      <c r="C15" t="s">
        <v>36</v>
      </c>
      <c r="D15" t="s">
        <v>37</v>
      </c>
      <c r="E15" t="s">
        <v>38</v>
      </c>
      <c r="F15" s="2" t="s">
        <v>61</v>
      </c>
      <c r="G15" t="s">
        <v>39</v>
      </c>
      <c r="H15">
        <f>COUNTIF(ValidTeams[],E15)</f>
        <v>1</v>
      </c>
    </row>
    <row r="16" spans="1:8" x14ac:dyDescent="0.25">
      <c r="A16">
        <v>2</v>
      </c>
      <c r="B16">
        <f t="shared" si="1"/>
        <v>19</v>
      </c>
      <c r="C16" t="s">
        <v>40</v>
      </c>
      <c r="D16" t="s">
        <v>41</v>
      </c>
      <c r="E16" t="s">
        <v>38</v>
      </c>
      <c r="F16" s="2" t="s">
        <v>62</v>
      </c>
      <c r="G16" t="s">
        <v>39</v>
      </c>
      <c r="H16">
        <f>COUNTIF(ValidTeams[],E16)</f>
        <v>1</v>
      </c>
    </row>
    <row r="17" spans="1:8" x14ac:dyDescent="0.25">
      <c r="A17">
        <v>3</v>
      </c>
      <c r="B17">
        <f t="shared" si="1"/>
        <v>18</v>
      </c>
      <c r="C17" t="s">
        <v>42</v>
      </c>
      <c r="D17" t="s">
        <v>43</v>
      </c>
      <c r="E17" t="s">
        <v>44</v>
      </c>
      <c r="F17" s="2" t="s">
        <v>63</v>
      </c>
      <c r="G17" t="s">
        <v>39</v>
      </c>
      <c r="H17">
        <f>COUNTIF(ValidTeams[],E17)</f>
        <v>1</v>
      </c>
    </row>
    <row r="18" spans="1:8" x14ac:dyDescent="0.25">
      <c r="A18">
        <v>4</v>
      </c>
      <c r="B18">
        <f t="shared" si="1"/>
        <v>0</v>
      </c>
      <c r="C18" t="s">
        <v>45</v>
      </c>
      <c r="D18" t="s">
        <v>46</v>
      </c>
      <c r="E18" t="s">
        <v>47</v>
      </c>
      <c r="F18" t="s">
        <v>64</v>
      </c>
      <c r="G18" t="s">
        <v>39</v>
      </c>
      <c r="H18">
        <f>COUNTIF(ValidTeams[],E18)</f>
        <v>0</v>
      </c>
    </row>
    <row r="19" spans="1:8" x14ac:dyDescent="0.25">
      <c r="A19">
        <v>5</v>
      </c>
      <c r="B19">
        <f t="shared" si="1"/>
        <v>16</v>
      </c>
      <c r="C19" t="s">
        <v>32</v>
      </c>
      <c r="D19" t="s">
        <v>48</v>
      </c>
      <c r="E19" t="s">
        <v>49</v>
      </c>
      <c r="F19" t="s">
        <v>65</v>
      </c>
      <c r="G19" t="s">
        <v>39</v>
      </c>
      <c r="H19">
        <f>COUNTIF(ValidTeams[],E19)</f>
        <v>1</v>
      </c>
    </row>
    <row r="20" spans="1:8" x14ac:dyDescent="0.25">
      <c r="A20">
        <v>6</v>
      </c>
      <c r="B20">
        <f t="shared" si="1"/>
        <v>15</v>
      </c>
      <c r="C20" t="s">
        <v>66</v>
      </c>
      <c r="D20" t="s">
        <v>67</v>
      </c>
      <c r="E20" t="s">
        <v>442</v>
      </c>
      <c r="F20" t="s">
        <v>68</v>
      </c>
      <c r="G20" t="s">
        <v>39</v>
      </c>
      <c r="H20">
        <f>COUNTIF(ValidTeams[],E20)</f>
        <v>1</v>
      </c>
    </row>
    <row r="21" spans="1:8" x14ac:dyDescent="0.25">
      <c r="A21">
        <v>7</v>
      </c>
      <c r="B21">
        <f t="shared" si="1"/>
        <v>0</v>
      </c>
      <c r="C21" t="s">
        <v>69</v>
      </c>
      <c r="D21" t="s">
        <v>70</v>
      </c>
      <c r="E21"/>
      <c r="F21" t="s">
        <v>71</v>
      </c>
      <c r="G21" t="s">
        <v>39</v>
      </c>
      <c r="H21">
        <f>COUNTIF(ValidTeams[],E21)</f>
        <v>0</v>
      </c>
    </row>
    <row r="22" spans="1:8" x14ac:dyDescent="0.25">
      <c r="A22">
        <v>8</v>
      </c>
      <c r="B22">
        <f t="shared" si="1"/>
        <v>13</v>
      </c>
      <c r="C22" t="s">
        <v>74</v>
      </c>
      <c r="D22" t="s">
        <v>75</v>
      </c>
      <c r="E22" t="s">
        <v>441</v>
      </c>
      <c r="F22" t="s">
        <v>76</v>
      </c>
      <c r="G22" t="s">
        <v>39</v>
      </c>
      <c r="H22">
        <f>COUNTIF(ValidTeams[],E22)</f>
        <v>1</v>
      </c>
    </row>
    <row r="23" spans="1:8" x14ac:dyDescent="0.25">
      <c r="A23">
        <v>9</v>
      </c>
      <c r="B23">
        <f t="shared" si="1"/>
        <v>0</v>
      </c>
      <c r="C23" t="s">
        <v>77</v>
      </c>
      <c r="D23" t="s">
        <v>78</v>
      </c>
      <c r="E23"/>
      <c r="F23" t="s">
        <v>79</v>
      </c>
      <c r="G23" t="s">
        <v>39</v>
      </c>
      <c r="H23">
        <f>COUNTIF(ValidTeams[],E23)</f>
        <v>0</v>
      </c>
    </row>
    <row r="24" spans="1:8" x14ac:dyDescent="0.25">
      <c r="A24">
        <v>10</v>
      </c>
      <c r="B24">
        <f t="shared" si="1"/>
        <v>0</v>
      </c>
      <c r="C24" t="s">
        <v>80</v>
      </c>
      <c r="D24" t="s">
        <v>81</v>
      </c>
      <c r="E24" t="s">
        <v>82</v>
      </c>
      <c r="F24" t="s">
        <v>83</v>
      </c>
      <c r="G24" t="s">
        <v>39</v>
      </c>
      <c r="H24">
        <f>COUNTIF(ValidTeams[],E24)</f>
        <v>0</v>
      </c>
    </row>
    <row r="26" spans="1:8" x14ac:dyDescent="0.25">
      <c r="A26" t="s">
        <v>0</v>
      </c>
      <c r="B26" t="s">
        <v>73</v>
      </c>
      <c r="C26" t="s">
        <v>1</v>
      </c>
      <c r="D26" t="s">
        <v>2</v>
      </c>
      <c r="E26" s="2" t="s">
        <v>3</v>
      </c>
      <c r="F26" t="s">
        <v>4</v>
      </c>
      <c r="G26" t="s">
        <v>5</v>
      </c>
    </row>
    <row r="27" spans="1:8" x14ac:dyDescent="0.25">
      <c r="A27">
        <v>1</v>
      </c>
      <c r="B27">
        <v>20</v>
      </c>
      <c r="C27" t="s">
        <v>84</v>
      </c>
      <c r="D27" t="s">
        <v>85</v>
      </c>
      <c r="E27" s="2" t="s">
        <v>442</v>
      </c>
      <c r="F27" s="2" t="s">
        <v>141</v>
      </c>
      <c r="G27" t="s">
        <v>86</v>
      </c>
    </row>
    <row r="28" spans="1:8" x14ac:dyDescent="0.25">
      <c r="A28">
        <v>2</v>
      </c>
      <c r="B28">
        <v>19</v>
      </c>
      <c r="C28" t="s">
        <v>22</v>
      </c>
      <c r="D28" t="s">
        <v>87</v>
      </c>
      <c r="E28" s="2" t="s">
        <v>88</v>
      </c>
      <c r="F28" s="2" t="s">
        <v>142</v>
      </c>
      <c r="G28" t="s">
        <v>86</v>
      </c>
    </row>
    <row r="29" spans="1:8" x14ac:dyDescent="0.25">
      <c r="A29">
        <v>3</v>
      </c>
      <c r="B29">
        <v>18</v>
      </c>
      <c r="C29" t="s">
        <v>89</v>
      </c>
      <c r="D29" t="s">
        <v>90</v>
      </c>
      <c r="E29" s="2" t="s">
        <v>91</v>
      </c>
      <c r="F29" s="2" t="s">
        <v>143</v>
      </c>
      <c r="G29" t="s">
        <v>86</v>
      </c>
    </row>
    <row r="30" spans="1:8" x14ac:dyDescent="0.25">
      <c r="A30">
        <v>4</v>
      </c>
      <c r="B30">
        <v>17</v>
      </c>
      <c r="C30" t="s">
        <v>93</v>
      </c>
      <c r="D30" t="s">
        <v>92</v>
      </c>
      <c r="E30" s="2" t="s">
        <v>91</v>
      </c>
      <c r="F30" s="2" t="s">
        <v>144</v>
      </c>
      <c r="G30" t="s">
        <v>86</v>
      </c>
    </row>
    <row r="31" spans="1:8" x14ac:dyDescent="0.25">
      <c r="A31">
        <v>5</v>
      </c>
      <c r="B31">
        <v>16</v>
      </c>
      <c r="C31" t="s">
        <v>94</v>
      </c>
      <c r="D31" t="s">
        <v>95</v>
      </c>
      <c r="E31" s="2" t="s">
        <v>91</v>
      </c>
      <c r="F31" s="2" t="s">
        <v>145</v>
      </c>
      <c r="G31" t="s">
        <v>86</v>
      </c>
    </row>
    <row r="32" spans="1:8" x14ac:dyDescent="0.25">
      <c r="A32">
        <v>6</v>
      </c>
      <c r="B32">
        <v>15</v>
      </c>
      <c r="C32" t="s">
        <v>96</v>
      </c>
      <c r="D32" t="s">
        <v>92</v>
      </c>
      <c r="E32" s="2" t="s">
        <v>97</v>
      </c>
      <c r="F32" s="2" t="s">
        <v>146</v>
      </c>
      <c r="G32" t="s">
        <v>86</v>
      </c>
    </row>
    <row r="33" spans="1:7" x14ac:dyDescent="0.25">
      <c r="F33" s="2"/>
    </row>
    <row r="34" spans="1:7" x14ac:dyDescent="0.25">
      <c r="A34" s="4" t="s">
        <v>0</v>
      </c>
      <c r="B34" s="4" t="s">
        <v>73</v>
      </c>
      <c r="C34" s="4" t="s">
        <v>1</v>
      </c>
      <c r="D34" s="4" t="s">
        <v>2</v>
      </c>
      <c r="E34" s="5" t="s">
        <v>3</v>
      </c>
      <c r="F34" s="5" t="s">
        <v>4</v>
      </c>
      <c r="G34" s="4" t="s">
        <v>5</v>
      </c>
    </row>
    <row r="35" spans="1:7" x14ac:dyDescent="0.25">
      <c r="A35" s="1">
        <v>1</v>
      </c>
      <c r="B35" s="1">
        <v>20</v>
      </c>
      <c r="C35" s="1" t="s">
        <v>98</v>
      </c>
      <c r="D35" s="1" t="s">
        <v>99</v>
      </c>
      <c r="E35" s="3" t="s">
        <v>100</v>
      </c>
      <c r="F35" s="3" t="s">
        <v>147</v>
      </c>
      <c r="G35" s="1" t="s">
        <v>101</v>
      </c>
    </row>
    <row r="36" spans="1:7" x14ac:dyDescent="0.25">
      <c r="A36" s="1">
        <v>2</v>
      </c>
      <c r="B36" s="1">
        <v>19</v>
      </c>
      <c r="C36" s="1" t="s">
        <v>102</v>
      </c>
      <c r="D36" s="1" t="s">
        <v>103</v>
      </c>
      <c r="E36" s="3" t="s">
        <v>100</v>
      </c>
      <c r="F36" s="3" t="s">
        <v>148</v>
      </c>
      <c r="G36" s="1" t="s">
        <v>101</v>
      </c>
    </row>
    <row r="37" spans="1:7" x14ac:dyDescent="0.25">
      <c r="A37" s="1">
        <v>3</v>
      </c>
      <c r="B37" s="1">
        <v>18</v>
      </c>
      <c r="C37" s="1" t="s">
        <v>104</v>
      </c>
      <c r="D37" s="1" t="s">
        <v>105</v>
      </c>
      <c r="E37" s="3" t="s">
        <v>100</v>
      </c>
      <c r="F37" s="3" t="s">
        <v>149</v>
      </c>
      <c r="G37" s="1" t="s">
        <v>101</v>
      </c>
    </row>
    <row r="38" spans="1:7" x14ac:dyDescent="0.25">
      <c r="F38" s="2"/>
    </row>
    <row r="39" spans="1:7" x14ac:dyDescent="0.25">
      <c r="A39" s="4" t="s">
        <v>0</v>
      </c>
      <c r="B39" s="4" t="s">
        <v>73</v>
      </c>
      <c r="C39" s="4" t="s">
        <v>1</v>
      </c>
      <c r="D39" s="4" t="s">
        <v>2</v>
      </c>
      <c r="E39" s="5" t="s">
        <v>3</v>
      </c>
      <c r="F39" s="5" t="s">
        <v>4</v>
      </c>
      <c r="G39" s="4" t="s">
        <v>5</v>
      </c>
    </row>
    <row r="40" spans="1:7" x14ac:dyDescent="0.25">
      <c r="A40" s="1">
        <v>1</v>
      </c>
      <c r="B40" s="1">
        <v>20</v>
      </c>
      <c r="C40" s="1" t="s">
        <v>106</v>
      </c>
      <c r="D40" s="1" t="s">
        <v>107</v>
      </c>
      <c r="E40" s="3" t="s">
        <v>108</v>
      </c>
      <c r="F40" s="3" t="s">
        <v>150</v>
      </c>
      <c r="G40" s="1" t="s">
        <v>109</v>
      </c>
    </row>
    <row r="41" spans="1:7" x14ac:dyDescent="0.25">
      <c r="A41" s="1">
        <v>2</v>
      </c>
      <c r="B41" s="1">
        <v>19</v>
      </c>
      <c r="C41" s="1" t="s">
        <v>110</v>
      </c>
      <c r="D41" s="1" t="s">
        <v>105</v>
      </c>
      <c r="E41" s="3"/>
      <c r="F41" s="3" t="s">
        <v>151</v>
      </c>
      <c r="G41" s="1" t="s">
        <v>109</v>
      </c>
    </row>
    <row r="42" spans="1:7" x14ac:dyDescent="0.25">
      <c r="F42" s="2"/>
    </row>
    <row r="43" spans="1:7" x14ac:dyDescent="0.25">
      <c r="A43" s="4" t="s">
        <v>0</v>
      </c>
      <c r="B43" s="4" t="s">
        <v>73</v>
      </c>
      <c r="C43" s="4" t="s">
        <v>1</v>
      </c>
      <c r="D43" s="4" t="s">
        <v>2</v>
      </c>
      <c r="E43" s="5" t="s">
        <v>3</v>
      </c>
      <c r="F43" s="5" t="s">
        <v>4</v>
      </c>
      <c r="G43" s="4" t="s">
        <v>5</v>
      </c>
    </row>
    <row r="44" spans="1:7" x14ac:dyDescent="0.25">
      <c r="A44" s="1">
        <v>1</v>
      </c>
      <c r="B44" s="1">
        <v>20</v>
      </c>
      <c r="C44" s="1" t="s">
        <v>104</v>
      </c>
      <c r="D44" s="1" t="s">
        <v>111</v>
      </c>
      <c r="E44" s="3" t="s">
        <v>100</v>
      </c>
      <c r="F44" s="3" t="s">
        <v>152</v>
      </c>
      <c r="G44" s="1" t="s">
        <v>112</v>
      </c>
    </row>
    <row r="45" spans="1:7" x14ac:dyDescent="0.25">
      <c r="A45" s="1">
        <v>2</v>
      </c>
      <c r="B45" s="1">
        <v>19</v>
      </c>
      <c r="C45" s="1" t="s">
        <v>113</v>
      </c>
      <c r="D45" s="1" t="s">
        <v>114</v>
      </c>
      <c r="E45" s="3"/>
      <c r="F45" s="3" t="s">
        <v>153</v>
      </c>
      <c r="G45" s="1" t="s">
        <v>112</v>
      </c>
    </row>
    <row r="46" spans="1:7" x14ac:dyDescent="0.25">
      <c r="A46" s="1">
        <v>3</v>
      </c>
      <c r="B46" s="1">
        <v>18</v>
      </c>
      <c r="C46" s="1" t="s">
        <v>115</v>
      </c>
      <c r="D46" s="1" t="s">
        <v>116</v>
      </c>
      <c r="E46" s="3" t="s">
        <v>100</v>
      </c>
      <c r="F46" s="3" t="s">
        <v>154</v>
      </c>
      <c r="G46" s="1" t="s">
        <v>112</v>
      </c>
    </row>
    <row r="47" spans="1:7" x14ac:dyDescent="0.25">
      <c r="F47" s="2"/>
    </row>
    <row r="48" spans="1:7" x14ac:dyDescent="0.25">
      <c r="A48" s="4" t="s">
        <v>0</v>
      </c>
      <c r="B48" s="4" t="s">
        <v>73</v>
      </c>
      <c r="C48" s="4" t="s">
        <v>1</v>
      </c>
      <c r="D48" s="4" t="s">
        <v>2</v>
      </c>
      <c r="E48" s="5" t="s">
        <v>3</v>
      </c>
      <c r="F48" s="5" t="s">
        <v>4</v>
      </c>
      <c r="G48" s="4" t="s">
        <v>5</v>
      </c>
    </row>
    <row r="49" spans="1:8" x14ac:dyDescent="0.25">
      <c r="A49" s="1">
        <v>1</v>
      </c>
      <c r="B49" s="1">
        <v>20</v>
      </c>
      <c r="C49" s="1" t="s">
        <v>117</v>
      </c>
      <c r="D49" s="1" t="s">
        <v>118</v>
      </c>
      <c r="E49" s="3" t="s">
        <v>140</v>
      </c>
      <c r="F49" s="3" t="s">
        <v>155</v>
      </c>
      <c r="G49" s="1" t="s">
        <v>119</v>
      </c>
    </row>
    <row r="50" spans="1:8" x14ac:dyDescent="0.25">
      <c r="F50" s="2"/>
    </row>
    <row r="51" spans="1:8" x14ac:dyDescent="0.25">
      <c r="A51" s="4" t="s">
        <v>0</v>
      </c>
      <c r="B51" s="4" t="s">
        <v>73</v>
      </c>
      <c r="C51" s="4" t="s">
        <v>1</v>
      </c>
      <c r="D51" s="4" t="s">
        <v>2</v>
      </c>
      <c r="E51" s="5" t="s">
        <v>3</v>
      </c>
      <c r="F51" s="5" t="s">
        <v>4</v>
      </c>
      <c r="G51" s="4" t="s">
        <v>5</v>
      </c>
    </row>
    <row r="52" spans="1:8" x14ac:dyDescent="0.25">
      <c r="A52" s="1">
        <v>1</v>
      </c>
      <c r="B52" s="1">
        <v>20</v>
      </c>
      <c r="C52" s="1" t="s">
        <v>89</v>
      </c>
      <c r="D52" s="1" t="s">
        <v>120</v>
      </c>
      <c r="E52" s="3" t="s">
        <v>91</v>
      </c>
      <c r="F52" s="3" t="s">
        <v>156</v>
      </c>
      <c r="G52" s="1" t="s">
        <v>121</v>
      </c>
    </row>
    <row r="53" spans="1:8" x14ac:dyDescent="0.25">
      <c r="F53" s="2"/>
    </row>
    <row r="54" spans="1:8" x14ac:dyDescent="0.25">
      <c r="A54" s="4" t="s">
        <v>0</v>
      </c>
      <c r="B54" s="4" t="s">
        <v>73</v>
      </c>
      <c r="C54" s="4" t="s">
        <v>1</v>
      </c>
      <c r="D54" s="4" t="s">
        <v>2</v>
      </c>
      <c r="E54" s="5" t="s">
        <v>3</v>
      </c>
      <c r="F54" s="5" t="s">
        <v>4</v>
      </c>
      <c r="G54" s="4" t="s">
        <v>5</v>
      </c>
      <c r="H54" s="4" t="s">
        <v>72</v>
      </c>
    </row>
    <row r="55" spans="1:8" x14ac:dyDescent="0.25">
      <c r="A55" s="1">
        <v>1</v>
      </c>
      <c r="B55">
        <f t="shared" ref="B55:B59" si="2">IF(H55=1,MAX(21-A55,0),0)</f>
        <v>20</v>
      </c>
      <c r="C55" s="1" t="s">
        <v>122</v>
      </c>
      <c r="D55" s="1" t="s">
        <v>123</v>
      </c>
      <c r="E55" s="3" t="s">
        <v>12</v>
      </c>
      <c r="F55" s="3" t="s">
        <v>157</v>
      </c>
      <c r="G55" s="1" t="s">
        <v>124</v>
      </c>
      <c r="H55" s="6">
        <f>COUNTIF(ValidTeams[],E55)</f>
        <v>1</v>
      </c>
    </row>
    <row r="56" spans="1:8" x14ac:dyDescent="0.25">
      <c r="A56" s="1">
        <v>2</v>
      </c>
      <c r="B56">
        <f t="shared" si="2"/>
        <v>19</v>
      </c>
      <c r="C56" s="1" t="s">
        <v>125</v>
      </c>
      <c r="D56" s="1" t="s">
        <v>126</v>
      </c>
      <c r="E56" s="3" t="s">
        <v>18</v>
      </c>
      <c r="F56" s="3" t="s">
        <v>158</v>
      </c>
      <c r="G56" s="1" t="s">
        <v>124</v>
      </c>
      <c r="H56" s="6">
        <f>COUNTIF(ValidTeams[],E56)</f>
        <v>1</v>
      </c>
    </row>
    <row r="57" spans="1:8" x14ac:dyDescent="0.25">
      <c r="A57">
        <v>3</v>
      </c>
      <c r="B57">
        <f t="shared" si="2"/>
        <v>0</v>
      </c>
      <c r="C57" t="s">
        <v>127</v>
      </c>
      <c r="D57" t="s">
        <v>128</v>
      </c>
      <c r="E57" t="s">
        <v>129</v>
      </c>
      <c r="F57" t="s">
        <v>159</v>
      </c>
      <c r="G57" t="s">
        <v>124</v>
      </c>
      <c r="H57">
        <f>COUNTIF(ValidTeams[],E57)</f>
        <v>0</v>
      </c>
    </row>
    <row r="58" spans="1:8" x14ac:dyDescent="0.25">
      <c r="A58">
        <v>4</v>
      </c>
      <c r="B58">
        <f t="shared" si="2"/>
        <v>0</v>
      </c>
      <c r="C58" t="s">
        <v>130</v>
      </c>
      <c r="D58" t="s">
        <v>23</v>
      </c>
      <c r="E58"/>
      <c r="F58" t="s">
        <v>160</v>
      </c>
      <c r="G58" t="s">
        <v>124</v>
      </c>
      <c r="H58">
        <f>COUNTIF(ValidTeams[],E58)</f>
        <v>0</v>
      </c>
    </row>
    <row r="59" spans="1:8" x14ac:dyDescent="0.25">
      <c r="A59">
        <v>5</v>
      </c>
      <c r="B59">
        <f t="shared" si="2"/>
        <v>0</v>
      </c>
      <c r="C59" t="s">
        <v>131</v>
      </c>
      <c r="D59" t="s">
        <v>132</v>
      </c>
      <c r="E59" t="s">
        <v>133</v>
      </c>
      <c r="F59" t="s">
        <v>161</v>
      </c>
      <c r="G59" t="s">
        <v>124</v>
      </c>
      <c r="H59">
        <f>COUNTIF(ValidTeams[],E59)</f>
        <v>0</v>
      </c>
    </row>
    <row r="60" spans="1:8" x14ac:dyDescent="0.25">
      <c r="F60" s="2"/>
    </row>
    <row r="61" spans="1:8" x14ac:dyDescent="0.25">
      <c r="A61" s="4" t="s">
        <v>0</v>
      </c>
      <c r="B61" s="4" t="s">
        <v>73</v>
      </c>
      <c r="C61" s="4" t="s">
        <v>1</v>
      </c>
      <c r="D61" s="4" t="s">
        <v>2</v>
      </c>
      <c r="E61" s="5" t="s">
        <v>3</v>
      </c>
      <c r="F61" s="5" t="s">
        <v>4</v>
      </c>
      <c r="G61" s="4" t="s">
        <v>5</v>
      </c>
      <c r="H61" s="4" t="s">
        <v>72</v>
      </c>
    </row>
    <row r="62" spans="1:8" x14ac:dyDescent="0.25">
      <c r="A62" s="1">
        <v>1</v>
      </c>
      <c r="B62">
        <f t="shared" ref="B62:B67" si="3">IF(H62=1,MAX(21-A62,0),0)</f>
        <v>20</v>
      </c>
      <c r="C62" s="1" t="s">
        <v>134</v>
      </c>
      <c r="D62" s="1" t="s">
        <v>7</v>
      </c>
      <c r="E62" s="3" t="s">
        <v>34</v>
      </c>
      <c r="F62" s="3" t="s">
        <v>162</v>
      </c>
      <c r="G62" s="1" t="s">
        <v>135</v>
      </c>
      <c r="H62" s="6">
        <f>COUNTIF(ValidTeams[],E62)</f>
        <v>1</v>
      </c>
    </row>
    <row r="63" spans="1:8" x14ac:dyDescent="0.25">
      <c r="A63" s="1">
        <v>2</v>
      </c>
      <c r="B63">
        <f t="shared" si="3"/>
        <v>19</v>
      </c>
      <c r="C63" s="1" t="s">
        <v>136</v>
      </c>
      <c r="D63" s="1" t="s">
        <v>137</v>
      </c>
      <c r="E63" s="3" t="s">
        <v>138</v>
      </c>
      <c r="F63" s="3" t="s">
        <v>163</v>
      </c>
      <c r="G63" s="1" t="s">
        <v>135</v>
      </c>
      <c r="H63" s="6">
        <f>COUNTIF(ValidTeams[],E63)</f>
        <v>1</v>
      </c>
    </row>
    <row r="64" spans="1:8" x14ac:dyDescent="0.25">
      <c r="A64" s="1">
        <v>3</v>
      </c>
      <c r="B64">
        <f t="shared" si="3"/>
        <v>18</v>
      </c>
      <c r="C64" s="1" t="s">
        <v>117</v>
      </c>
      <c r="D64" s="1" t="s">
        <v>139</v>
      </c>
      <c r="E64" s="3" t="s">
        <v>140</v>
      </c>
      <c r="F64" s="3" t="s">
        <v>164</v>
      </c>
      <c r="G64" s="1" t="s">
        <v>135</v>
      </c>
      <c r="H64" s="6">
        <f>COUNTIF(ValidTeams[],E64)</f>
        <v>1</v>
      </c>
    </row>
    <row r="65" spans="1:8" x14ac:dyDescent="0.25">
      <c r="A65" s="1">
        <v>4</v>
      </c>
      <c r="B65">
        <f t="shared" si="3"/>
        <v>0</v>
      </c>
      <c r="C65" s="1" t="s">
        <v>165</v>
      </c>
      <c r="D65" s="1" t="s">
        <v>166</v>
      </c>
      <c r="E65" s="3" t="s">
        <v>167</v>
      </c>
      <c r="F65" s="3" t="s">
        <v>168</v>
      </c>
      <c r="G65" s="1" t="s">
        <v>135</v>
      </c>
      <c r="H65" s="6">
        <f>COUNTIF(ValidTeams[],E65)</f>
        <v>0</v>
      </c>
    </row>
    <row r="66" spans="1:8" x14ac:dyDescent="0.25">
      <c r="A66" s="1">
        <v>5</v>
      </c>
      <c r="B66">
        <f t="shared" si="3"/>
        <v>16</v>
      </c>
      <c r="C66" s="1" t="s">
        <v>169</v>
      </c>
      <c r="D66" s="1" t="s">
        <v>170</v>
      </c>
      <c r="E66" s="3" t="s">
        <v>171</v>
      </c>
      <c r="F66" s="3" t="s">
        <v>172</v>
      </c>
      <c r="G66" s="1" t="s">
        <v>135</v>
      </c>
      <c r="H66" s="6">
        <f>COUNTIF(ValidTeams[],E66)</f>
        <v>1</v>
      </c>
    </row>
    <row r="67" spans="1:8" x14ac:dyDescent="0.25">
      <c r="A67">
        <v>6</v>
      </c>
      <c r="B67">
        <f t="shared" si="3"/>
        <v>0</v>
      </c>
      <c r="C67" t="s">
        <v>173</v>
      </c>
      <c r="D67" t="s">
        <v>174</v>
      </c>
      <c r="E67"/>
      <c r="F67" t="s">
        <v>175</v>
      </c>
      <c r="G67" t="s">
        <v>135</v>
      </c>
      <c r="H67">
        <f>COUNTIF(ValidTeams[],E67)</f>
        <v>0</v>
      </c>
    </row>
    <row r="68" spans="1:8" x14ac:dyDescent="0.25">
      <c r="F68" s="2"/>
    </row>
    <row r="69" spans="1:8" x14ac:dyDescent="0.25">
      <c r="A69" s="4" t="s">
        <v>0</v>
      </c>
      <c r="B69" s="4" t="s">
        <v>73</v>
      </c>
      <c r="C69" s="4" t="s">
        <v>1</v>
      </c>
      <c r="D69" s="4" t="s">
        <v>2</v>
      </c>
      <c r="E69" s="5" t="s">
        <v>3</v>
      </c>
      <c r="F69" s="5" t="s">
        <v>4</v>
      </c>
      <c r="G69" s="4" t="s">
        <v>5</v>
      </c>
      <c r="H69" s="4" t="s">
        <v>72</v>
      </c>
    </row>
    <row r="70" spans="1:8" x14ac:dyDescent="0.25">
      <c r="A70" s="1">
        <v>1</v>
      </c>
      <c r="B70">
        <f t="shared" ref="B70:B82" si="4">IF(H70=1,MAX(21-A70,0),0)</f>
        <v>20</v>
      </c>
      <c r="C70" s="1" t="s">
        <v>66</v>
      </c>
      <c r="D70" s="1" t="s">
        <v>176</v>
      </c>
      <c r="E70" s="3" t="s">
        <v>442</v>
      </c>
      <c r="F70" s="3" t="s">
        <v>177</v>
      </c>
      <c r="G70" s="1" t="s">
        <v>178</v>
      </c>
      <c r="H70" s="6">
        <f>COUNTIF(ValidTeams[],E70)</f>
        <v>1</v>
      </c>
    </row>
    <row r="71" spans="1:8" x14ac:dyDescent="0.25">
      <c r="A71" s="1">
        <v>2</v>
      </c>
      <c r="B71">
        <f t="shared" si="4"/>
        <v>19</v>
      </c>
      <c r="C71" s="1" t="s">
        <v>179</v>
      </c>
      <c r="D71" s="1" t="s">
        <v>24</v>
      </c>
      <c r="E71" s="3" t="s">
        <v>100</v>
      </c>
      <c r="F71" s="3" t="s">
        <v>180</v>
      </c>
      <c r="G71" s="1" t="s">
        <v>178</v>
      </c>
      <c r="H71" s="6">
        <f>COUNTIF(ValidTeams[],E71)</f>
        <v>1</v>
      </c>
    </row>
    <row r="72" spans="1:8" x14ac:dyDescent="0.25">
      <c r="A72" s="1">
        <v>3</v>
      </c>
      <c r="B72">
        <f t="shared" si="4"/>
        <v>18</v>
      </c>
      <c r="C72" s="1" t="s">
        <v>181</v>
      </c>
      <c r="D72" s="1" t="s">
        <v>132</v>
      </c>
      <c r="E72" s="3" t="s">
        <v>34</v>
      </c>
      <c r="F72" s="3" t="s">
        <v>182</v>
      </c>
      <c r="G72" s="1" t="s">
        <v>178</v>
      </c>
      <c r="H72" s="6">
        <f>COUNTIF(ValidTeams[],E72)</f>
        <v>1</v>
      </c>
    </row>
    <row r="73" spans="1:8" x14ac:dyDescent="0.25">
      <c r="A73" s="1">
        <v>4</v>
      </c>
      <c r="B73">
        <f t="shared" si="4"/>
        <v>17</v>
      </c>
      <c r="C73" s="1" t="s">
        <v>183</v>
      </c>
      <c r="D73" s="1" t="s">
        <v>184</v>
      </c>
      <c r="E73" s="3" t="s">
        <v>100</v>
      </c>
      <c r="F73" s="3" t="s">
        <v>185</v>
      </c>
      <c r="G73" s="1" t="s">
        <v>178</v>
      </c>
      <c r="H73" s="6">
        <f>COUNTIF(ValidTeams[],E73)</f>
        <v>1</v>
      </c>
    </row>
    <row r="74" spans="1:8" x14ac:dyDescent="0.25">
      <c r="A74" s="1">
        <v>5</v>
      </c>
      <c r="B74">
        <f t="shared" si="4"/>
        <v>16</v>
      </c>
      <c r="C74" s="1" t="s">
        <v>186</v>
      </c>
      <c r="D74" s="1" t="s">
        <v>187</v>
      </c>
      <c r="E74" s="3" t="s">
        <v>8</v>
      </c>
      <c r="F74" s="3" t="s">
        <v>188</v>
      </c>
      <c r="G74" s="1" t="s">
        <v>178</v>
      </c>
      <c r="H74" s="6">
        <f>COUNTIF(ValidTeams[],E74)</f>
        <v>1</v>
      </c>
    </row>
    <row r="75" spans="1:8" x14ac:dyDescent="0.25">
      <c r="A75" s="1">
        <v>6</v>
      </c>
      <c r="B75">
        <f t="shared" si="4"/>
        <v>15</v>
      </c>
      <c r="C75" s="1" t="s">
        <v>189</v>
      </c>
      <c r="D75" s="1" t="s">
        <v>190</v>
      </c>
      <c r="E75" s="3" t="s">
        <v>191</v>
      </c>
      <c r="F75" s="3" t="s">
        <v>192</v>
      </c>
      <c r="G75" s="1" t="s">
        <v>178</v>
      </c>
      <c r="H75" s="6">
        <f>COUNTIF(ValidTeams[],E75)</f>
        <v>1</v>
      </c>
    </row>
    <row r="76" spans="1:8" x14ac:dyDescent="0.25">
      <c r="A76" s="1">
        <v>7</v>
      </c>
      <c r="B76">
        <f t="shared" si="4"/>
        <v>14</v>
      </c>
      <c r="C76" s="1" t="s">
        <v>193</v>
      </c>
      <c r="D76" s="1" t="s">
        <v>194</v>
      </c>
      <c r="E76" s="3" t="s">
        <v>442</v>
      </c>
      <c r="F76" s="3" t="s">
        <v>195</v>
      </c>
      <c r="G76" s="1" t="s">
        <v>178</v>
      </c>
      <c r="H76" s="6">
        <f>COUNTIF(ValidTeams[],E76)</f>
        <v>1</v>
      </c>
    </row>
    <row r="77" spans="1:8" x14ac:dyDescent="0.25">
      <c r="A77" s="1">
        <v>8</v>
      </c>
      <c r="B77">
        <f t="shared" si="4"/>
        <v>13</v>
      </c>
      <c r="C77" s="1" t="s">
        <v>196</v>
      </c>
      <c r="D77" s="1" t="s">
        <v>128</v>
      </c>
      <c r="E77" s="3" t="s">
        <v>38</v>
      </c>
      <c r="F77" s="3" t="s">
        <v>197</v>
      </c>
      <c r="G77" s="1" t="s">
        <v>178</v>
      </c>
      <c r="H77" s="6">
        <f>COUNTIF(ValidTeams[],E77)</f>
        <v>1</v>
      </c>
    </row>
    <row r="78" spans="1:8" x14ac:dyDescent="0.25">
      <c r="A78" s="1">
        <v>9</v>
      </c>
      <c r="B78">
        <f t="shared" si="4"/>
        <v>0</v>
      </c>
      <c r="C78" s="1" t="s">
        <v>198</v>
      </c>
      <c r="D78" s="1" t="s">
        <v>199</v>
      </c>
      <c r="E78" s="3" t="s">
        <v>200</v>
      </c>
      <c r="F78" s="3" t="s">
        <v>201</v>
      </c>
      <c r="G78" s="1" t="s">
        <v>178</v>
      </c>
      <c r="H78" s="6">
        <f>COUNTIF(ValidTeams[],E78)</f>
        <v>0</v>
      </c>
    </row>
    <row r="79" spans="1:8" x14ac:dyDescent="0.25">
      <c r="A79" s="1">
        <v>10</v>
      </c>
      <c r="B79">
        <f t="shared" si="4"/>
        <v>0</v>
      </c>
      <c r="C79" s="1" t="s">
        <v>202</v>
      </c>
      <c r="D79" s="1" t="s">
        <v>194</v>
      </c>
      <c r="E79" s="3" t="s">
        <v>203</v>
      </c>
      <c r="F79" s="3" t="s">
        <v>204</v>
      </c>
      <c r="G79" s="1" t="s">
        <v>178</v>
      </c>
      <c r="H79" s="6">
        <f>COUNTIF(ValidTeams[],E79)</f>
        <v>0</v>
      </c>
    </row>
    <row r="80" spans="1:8" x14ac:dyDescent="0.25">
      <c r="A80" s="1">
        <v>11</v>
      </c>
      <c r="B80">
        <f t="shared" si="4"/>
        <v>0</v>
      </c>
      <c r="C80" s="1" t="s">
        <v>205</v>
      </c>
      <c r="D80" s="1" t="s">
        <v>206</v>
      </c>
      <c r="E80" s="3" t="s">
        <v>207</v>
      </c>
      <c r="F80" s="3" t="s">
        <v>208</v>
      </c>
      <c r="G80" s="1" t="s">
        <v>178</v>
      </c>
      <c r="H80" s="6">
        <f>COUNTIF(ValidTeams[],E80)</f>
        <v>0</v>
      </c>
    </row>
    <row r="81" spans="1:8" x14ac:dyDescent="0.25">
      <c r="A81" s="1">
        <v>12</v>
      </c>
      <c r="B81">
        <f t="shared" si="4"/>
        <v>0</v>
      </c>
      <c r="C81" s="1" t="s">
        <v>209</v>
      </c>
      <c r="D81" s="1" t="s">
        <v>33</v>
      </c>
      <c r="E81" s="3" t="s">
        <v>210</v>
      </c>
      <c r="F81" s="3" t="s">
        <v>211</v>
      </c>
      <c r="G81" s="1" t="s">
        <v>178</v>
      </c>
      <c r="H81" s="6">
        <f>COUNTIF(ValidTeams[],E81)</f>
        <v>0</v>
      </c>
    </row>
    <row r="82" spans="1:8" x14ac:dyDescent="0.25">
      <c r="A82" s="1">
        <v>13</v>
      </c>
      <c r="B82">
        <f t="shared" si="4"/>
        <v>8</v>
      </c>
      <c r="C82" s="1" t="s">
        <v>89</v>
      </c>
      <c r="D82" s="1" t="s">
        <v>212</v>
      </c>
      <c r="E82" s="3" t="s">
        <v>91</v>
      </c>
      <c r="F82" s="3" t="s">
        <v>213</v>
      </c>
      <c r="G82" s="1" t="s">
        <v>178</v>
      </c>
      <c r="H82" s="6">
        <f>COUNTIF(ValidTeams[],E82)</f>
        <v>1</v>
      </c>
    </row>
    <row r="83" spans="1:8" x14ac:dyDescent="0.25">
      <c r="F83" s="2"/>
    </row>
    <row r="84" spans="1:8" x14ac:dyDescent="0.25">
      <c r="A84" s="4" t="s">
        <v>0</v>
      </c>
      <c r="B84" s="4" t="s">
        <v>73</v>
      </c>
      <c r="C84" s="4" t="s">
        <v>1</v>
      </c>
      <c r="D84" s="4" t="s">
        <v>2</v>
      </c>
      <c r="E84" s="5" t="s">
        <v>3</v>
      </c>
      <c r="F84" s="5" t="s">
        <v>4</v>
      </c>
      <c r="G84" s="4" t="s">
        <v>5</v>
      </c>
      <c r="H84" s="4" t="s">
        <v>72</v>
      </c>
    </row>
    <row r="85" spans="1:8" x14ac:dyDescent="0.25">
      <c r="A85" s="1">
        <v>1</v>
      </c>
      <c r="B85">
        <f t="shared" ref="B85:B93" si="5">IF(H85=1,MAX(21-A85,0),0)</f>
        <v>20</v>
      </c>
      <c r="C85" s="1" t="s">
        <v>214</v>
      </c>
      <c r="D85" s="1" t="s">
        <v>215</v>
      </c>
      <c r="E85" s="3" t="s">
        <v>18</v>
      </c>
      <c r="F85" s="3" t="s">
        <v>216</v>
      </c>
      <c r="G85" s="1" t="s">
        <v>217</v>
      </c>
      <c r="H85" s="6">
        <f>COUNTIF(ValidTeams[],E85)</f>
        <v>1</v>
      </c>
    </row>
    <row r="86" spans="1:8" x14ac:dyDescent="0.25">
      <c r="A86" s="1">
        <v>2</v>
      </c>
      <c r="B86">
        <f t="shared" si="5"/>
        <v>19</v>
      </c>
      <c r="C86" s="1" t="s">
        <v>218</v>
      </c>
      <c r="D86" s="1" t="s">
        <v>114</v>
      </c>
      <c r="E86" s="3" t="s">
        <v>18</v>
      </c>
      <c r="F86" s="3" t="s">
        <v>219</v>
      </c>
      <c r="G86" s="1" t="s">
        <v>217</v>
      </c>
      <c r="H86" s="6">
        <f>COUNTIF(ValidTeams[],E86)</f>
        <v>1</v>
      </c>
    </row>
    <row r="87" spans="1:8" x14ac:dyDescent="0.25">
      <c r="A87" s="1">
        <v>3</v>
      </c>
      <c r="B87">
        <f t="shared" si="5"/>
        <v>18</v>
      </c>
      <c r="C87" s="1" t="s">
        <v>220</v>
      </c>
      <c r="D87" s="1" t="s">
        <v>221</v>
      </c>
      <c r="E87" s="3" t="s">
        <v>222</v>
      </c>
      <c r="F87" s="3" t="s">
        <v>223</v>
      </c>
      <c r="G87" s="1" t="s">
        <v>217</v>
      </c>
      <c r="H87" s="6">
        <f>COUNTIF(ValidTeams[],E87)</f>
        <v>1</v>
      </c>
    </row>
    <row r="88" spans="1:8" x14ac:dyDescent="0.25">
      <c r="A88" s="1">
        <v>4</v>
      </c>
      <c r="B88">
        <f t="shared" si="5"/>
        <v>17</v>
      </c>
      <c r="C88" s="1" t="s">
        <v>224</v>
      </c>
      <c r="D88" s="1" t="s">
        <v>225</v>
      </c>
      <c r="E88" s="3" t="s">
        <v>226</v>
      </c>
      <c r="F88" s="3" t="s">
        <v>227</v>
      </c>
      <c r="G88" s="1" t="s">
        <v>217</v>
      </c>
      <c r="H88" s="6">
        <f>COUNTIF(ValidTeams[],E88)</f>
        <v>1</v>
      </c>
    </row>
    <row r="89" spans="1:8" x14ac:dyDescent="0.25">
      <c r="A89" s="1">
        <v>5</v>
      </c>
      <c r="B89">
        <f t="shared" si="5"/>
        <v>16</v>
      </c>
      <c r="C89" s="1" t="s">
        <v>228</v>
      </c>
      <c r="D89" s="1" t="s">
        <v>229</v>
      </c>
      <c r="E89" s="3" t="s">
        <v>230</v>
      </c>
      <c r="F89" s="3" t="s">
        <v>231</v>
      </c>
      <c r="G89" s="1" t="s">
        <v>217</v>
      </c>
      <c r="H89" s="6">
        <f>COUNTIF(ValidTeams[],E89)</f>
        <v>1</v>
      </c>
    </row>
    <row r="90" spans="1:8" x14ac:dyDescent="0.25">
      <c r="A90" s="1">
        <v>6</v>
      </c>
      <c r="B90">
        <f t="shared" si="5"/>
        <v>0</v>
      </c>
      <c r="C90" s="1" t="s">
        <v>232</v>
      </c>
      <c r="D90" s="1" t="s">
        <v>233</v>
      </c>
      <c r="E90" s="3" t="s">
        <v>234</v>
      </c>
      <c r="F90" s="3" t="s">
        <v>235</v>
      </c>
      <c r="G90" s="1" t="s">
        <v>217</v>
      </c>
      <c r="H90" s="6">
        <f>COUNTIF(ValidTeams[],E90)</f>
        <v>0</v>
      </c>
    </row>
    <row r="91" spans="1:8" x14ac:dyDescent="0.25">
      <c r="A91" s="1">
        <v>7</v>
      </c>
      <c r="B91">
        <f t="shared" si="5"/>
        <v>14</v>
      </c>
      <c r="C91" s="1" t="s">
        <v>236</v>
      </c>
      <c r="D91" s="1" t="s">
        <v>237</v>
      </c>
      <c r="E91" s="3" t="s">
        <v>238</v>
      </c>
      <c r="F91" s="3" t="s">
        <v>239</v>
      </c>
      <c r="G91" s="1" t="s">
        <v>217</v>
      </c>
      <c r="H91" s="6">
        <f>COUNTIF(ValidTeams[],E91)</f>
        <v>1</v>
      </c>
    </row>
    <row r="92" spans="1:8" x14ac:dyDescent="0.25">
      <c r="A92" s="1">
        <v>8</v>
      </c>
      <c r="B92">
        <f t="shared" si="5"/>
        <v>0</v>
      </c>
      <c r="C92" s="1" t="s">
        <v>240</v>
      </c>
      <c r="D92" s="1" t="s">
        <v>11</v>
      </c>
      <c r="E92" s="3" t="s">
        <v>241</v>
      </c>
      <c r="F92" s="3" t="s">
        <v>242</v>
      </c>
      <c r="G92" s="1" t="s">
        <v>217</v>
      </c>
      <c r="H92" s="6">
        <f>COUNTIF(ValidTeams[],E92)</f>
        <v>0</v>
      </c>
    </row>
    <row r="93" spans="1:8" x14ac:dyDescent="0.25">
      <c r="A93" s="1">
        <v>9</v>
      </c>
      <c r="B93">
        <f t="shared" si="5"/>
        <v>12</v>
      </c>
      <c r="C93" s="1" t="s">
        <v>243</v>
      </c>
      <c r="D93" s="1" t="s">
        <v>244</v>
      </c>
      <c r="E93" s="3" t="s">
        <v>12</v>
      </c>
      <c r="F93" s="3" t="s">
        <v>245</v>
      </c>
      <c r="G93" s="1" t="s">
        <v>217</v>
      </c>
      <c r="H93" s="6">
        <f>COUNTIF(ValidTeams[],E93)</f>
        <v>1</v>
      </c>
    </row>
    <row r="94" spans="1:8" x14ac:dyDescent="0.25">
      <c r="F94" s="2"/>
    </row>
    <row r="95" spans="1:8" x14ac:dyDescent="0.25">
      <c r="A95" s="4" t="s">
        <v>0</v>
      </c>
      <c r="B95" s="4" t="s">
        <v>73</v>
      </c>
      <c r="C95" s="4" t="s">
        <v>1</v>
      </c>
      <c r="D95" s="4" t="s">
        <v>2</v>
      </c>
      <c r="E95" s="5" t="s">
        <v>3</v>
      </c>
      <c r="F95" s="5" t="s">
        <v>4</v>
      </c>
      <c r="G95" s="4" t="s">
        <v>5</v>
      </c>
      <c r="H95" s="4" t="s">
        <v>72</v>
      </c>
    </row>
    <row r="96" spans="1:8" x14ac:dyDescent="0.25">
      <c r="A96" s="1">
        <v>1</v>
      </c>
      <c r="B96">
        <f t="shared" ref="B96:B101" si="6">IF(H96=1,MAX(21-A96,0),0)</f>
        <v>20</v>
      </c>
      <c r="C96" s="1" t="s">
        <v>246</v>
      </c>
      <c r="D96" s="1" t="s">
        <v>20</v>
      </c>
      <c r="E96" s="3" t="s">
        <v>44</v>
      </c>
      <c r="F96" s="3" t="s">
        <v>247</v>
      </c>
      <c r="G96" s="1" t="s">
        <v>248</v>
      </c>
      <c r="H96" s="6">
        <f>COUNTIF(ValidTeams[],E96)</f>
        <v>1</v>
      </c>
    </row>
    <row r="97" spans="1:8" x14ac:dyDescent="0.25">
      <c r="A97" s="1">
        <v>2</v>
      </c>
      <c r="B97">
        <f t="shared" si="6"/>
        <v>19</v>
      </c>
      <c r="C97" s="1" t="s">
        <v>249</v>
      </c>
      <c r="D97" s="1" t="s">
        <v>250</v>
      </c>
      <c r="E97" s="3" t="s">
        <v>251</v>
      </c>
      <c r="F97" s="3" t="s">
        <v>252</v>
      </c>
      <c r="G97" s="1" t="s">
        <v>248</v>
      </c>
      <c r="H97" s="6">
        <f>COUNTIF(ValidTeams[],E97)</f>
        <v>1</v>
      </c>
    </row>
    <row r="98" spans="1:8" x14ac:dyDescent="0.25">
      <c r="A98" s="1">
        <v>3</v>
      </c>
      <c r="B98">
        <f t="shared" si="6"/>
        <v>18</v>
      </c>
      <c r="C98" s="1" t="s">
        <v>113</v>
      </c>
      <c r="D98" s="1" t="s">
        <v>253</v>
      </c>
      <c r="E98" s="3" t="s">
        <v>254</v>
      </c>
      <c r="F98" s="3" t="s">
        <v>255</v>
      </c>
      <c r="G98" s="1" t="s">
        <v>248</v>
      </c>
      <c r="H98" s="6">
        <f>COUNTIF(ValidTeams[],E98)</f>
        <v>1</v>
      </c>
    </row>
    <row r="99" spans="1:8" x14ac:dyDescent="0.25">
      <c r="A99" s="1">
        <v>4</v>
      </c>
      <c r="B99">
        <f t="shared" si="6"/>
        <v>17</v>
      </c>
      <c r="C99" s="1" t="s">
        <v>256</v>
      </c>
      <c r="D99" s="1" t="s">
        <v>257</v>
      </c>
      <c r="E99" s="3" t="s">
        <v>238</v>
      </c>
      <c r="F99" s="3" t="s">
        <v>258</v>
      </c>
      <c r="G99" s="1" t="s">
        <v>248</v>
      </c>
      <c r="H99" s="6">
        <f>COUNTIF(ValidTeams[],E99)</f>
        <v>1</v>
      </c>
    </row>
    <row r="100" spans="1:8" x14ac:dyDescent="0.25">
      <c r="A100">
        <v>5</v>
      </c>
      <c r="B100">
        <f t="shared" si="6"/>
        <v>0</v>
      </c>
      <c r="C100" t="s">
        <v>259</v>
      </c>
      <c r="D100" t="s">
        <v>260</v>
      </c>
      <c r="E100"/>
      <c r="F100" t="s">
        <v>261</v>
      </c>
      <c r="G100" t="s">
        <v>248</v>
      </c>
      <c r="H100">
        <f>COUNTIF(ValidTeams[],E100)</f>
        <v>0</v>
      </c>
    </row>
    <row r="101" spans="1:8" x14ac:dyDescent="0.25">
      <c r="A101">
        <v>6</v>
      </c>
      <c r="B101">
        <f t="shared" si="6"/>
        <v>0</v>
      </c>
      <c r="C101" t="s">
        <v>262</v>
      </c>
      <c r="D101" t="s">
        <v>263</v>
      </c>
      <c r="E101"/>
      <c r="F101" t="s">
        <v>264</v>
      </c>
      <c r="G101" t="s">
        <v>248</v>
      </c>
      <c r="H101">
        <f>COUNTIF(ValidTeams[],E101)</f>
        <v>0</v>
      </c>
    </row>
    <row r="102" spans="1:8" x14ac:dyDescent="0.25">
      <c r="F102" s="2"/>
    </row>
    <row r="103" spans="1:8" x14ac:dyDescent="0.25">
      <c r="A103" s="4" t="s">
        <v>0</v>
      </c>
      <c r="B103" s="4" t="s">
        <v>73</v>
      </c>
      <c r="C103" s="4" t="s">
        <v>1</v>
      </c>
      <c r="D103" s="4" t="s">
        <v>2</v>
      </c>
      <c r="E103" s="5" t="s">
        <v>3</v>
      </c>
      <c r="F103" s="5" t="s">
        <v>4</v>
      </c>
      <c r="G103" s="4" t="s">
        <v>5</v>
      </c>
      <c r="H103" s="4" t="s">
        <v>72</v>
      </c>
    </row>
    <row r="104" spans="1:8" x14ac:dyDescent="0.25">
      <c r="A104" s="1">
        <v>1</v>
      </c>
      <c r="B104">
        <f t="shared" ref="B104:B125" si="7">IF(H104=1,MAX(21-A104,0),0)</f>
        <v>20</v>
      </c>
      <c r="C104" s="1" t="s">
        <v>265</v>
      </c>
      <c r="D104" s="1" t="s">
        <v>266</v>
      </c>
      <c r="E104" s="3" t="s">
        <v>267</v>
      </c>
      <c r="F104" s="3" t="s">
        <v>268</v>
      </c>
      <c r="G104" s="1" t="s">
        <v>269</v>
      </c>
      <c r="H104" s="6">
        <f>COUNTIF(ValidTeams[],E104)</f>
        <v>1</v>
      </c>
    </row>
    <row r="105" spans="1:8" x14ac:dyDescent="0.25">
      <c r="A105" s="1">
        <v>2</v>
      </c>
      <c r="B105">
        <f t="shared" si="7"/>
        <v>19</v>
      </c>
      <c r="C105" s="1" t="s">
        <v>270</v>
      </c>
      <c r="D105" s="1" t="s">
        <v>24</v>
      </c>
      <c r="E105" s="3" t="s">
        <v>271</v>
      </c>
      <c r="F105" s="3" t="s">
        <v>272</v>
      </c>
      <c r="G105" s="1" t="s">
        <v>269</v>
      </c>
      <c r="H105" s="6">
        <f>COUNTIF(ValidTeams[],E105)</f>
        <v>1</v>
      </c>
    </row>
    <row r="106" spans="1:8" x14ac:dyDescent="0.25">
      <c r="A106" s="1">
        <v>3</v>
      </c>
      <c r="B106">
        <f t="shared" si="7"/>
        <v>18</v>
      </c>
      <c r="C106" s="1" t="s">
        <v>273</v>
      </c>
      <c r="D106" s="1" t="s">
        <v>274</v>
      </c>
      <c r="E106" s="3" t="s">
        <v>275</v>
      </c>
      <c r="F106" s="3" t="s">
        <v>276</v>
      </c>
      <c r="G106" s="1" t="s">
        <v>269</v>
      </c>
      <c r="H106" s="6">
        <f>COUNTIF(ValidTeams[],E106)</f>
        <v>1</v>
      </c>
    </row>
    <row r="107" spans="1:8" x14ac:dyDescent="0.25">
      <c r="A107" s="1">
        <v>4</v>
      </c>
      <c r="B107">
        <f t="shared" si="7"/>
        <v>17</v>
      </c>
      <c r="C107" s="1" t="s">
        <v>277</v>
      </c>
      <c r="D107" s="1" t="s">
        <v>278</v>
      </c>
      <c r="E107" s="3" t="s">
        <v>275</v>
      </c>
      <c r="F107" s="3" t="s">
        <v>279</v>
      </c>
      <c r="G107" s="1" t="s">
        <v>269</v>
      </c>
      <c r="H107" s="6">
        <f>COUNTIF(ValidTeams[],E107)</f>
        <v>1</v>
      </c>
    </row>
    <row r="108" spans="1:8" x14ac:dyDescent="0.25">
      <c r="A108" s="1">
        <v>5</v>
      </c>
      <c r="B108">
        <f t="shared" si="7"/>
        <v>16</v>
      </c>
      <c r="C108" s="1" t="s">
        <v>280</v>
      </c>
      <c r="D108" s="1" t="s">
        <v>281</v>
      </c>
      <c r="E108" s="3" t="s">
        <v>275</v>
      </c>
      <c r="F108" s="3" t="s">
        <v>282</v>
      </c>
      <c r="G108" s="1" t="s">
        <v>269</v>
      </c>
      <c r="H108" s="6">
        <f>COUNTIF(ValidTeams[],E108)</f>
        <v>1</v>
      </c>
    </row>
    <row r="109" spans="1:8" x14ac:dyDescent="0.25">
      <c r="A109" s="1">
        <v>6</v>
      </c>
      <c r="B109">
        <f t="shared" si="7"/>
        <v>15</v>
      </c>
      <c r="C109" s="1" t="s">
        <v>283</v>
      </c>
      <c r="D109" s="1" t="s">
        <v>284</v>
      </c>
      <c r="E109" s="3" t="s">
        <v>18</v>
      </c>
      <c r="F109" s="3" t="s">
        <v>285</v>
      </c>
      <c r="G109" s="1" t="s">
        <v>269</v>
      </c>
      <c r="H109" s="6">
        <f>COUNTIF(ValidTeams[],E109)</f>
        <v>1</v>
      </c>
    </row>
    <row r="110" spans="1:8" x14ac:dyDescent="0.25">
      <c r="A110" s="1">
        <v>7</v>
      </c>
      <c r="B110">
        <f t="shared" si="7"/>
        <v>14</v>
      </c>
      <c r="C110" s="1" t="s">
        <v>286</v>
      </c>
      <c r="D110" s="1" t="s">
        <v>287</v>
      </c>
      <c r="E110" s="3" t="s">
        <v>38</v>
      </c>
      <c r="F110" s="3" t="s">
        <v>288</v>
      </c>
      <c r="G110" s="1" t="s">
        <v>269</v>
      </c>
      <c r="H110" s="6">
        <f>COUNTIF(ValidTeams[],E110)</f>
        <v>1</v>
      </c>
    </row>
    <row r="111" spans="1:8" x14ac:dyDescent="0.25">
      <c r="A111" s="1">
        <v>8</v>
      </c>
      <c r="B111">
        <f t="shared" si="7"/>
        <v>13</v>
      </c>
      <c r="C111" s="1" t="s">
        <v>289</v>
      </c>
      <c r="D111" s="1" t="s">
        <v>174</v>
      </c>
      <c r="E111" s="3" t="s">
        <v>290</v>
      </c>
      <c r="F111" s="3" t="s">
        <v>291</v>
      </c>
      <c r="G111" s="1" t="s">
        <v>269</v>
      </c>
      <c r="H111" s="6">
        <f>COUNTIF(ValidTeams[],E111)</f>
        <v>1</v>
      </c>
    </row>
    <row r="112" spans="1:8" x14ac:dyDescent="0.25">
      <c r="A112" s="1">
        <v>9</v>
      </c>
      <c r="B112">
        <f t="shared" si="7"/>
        <v>0</v>
      </c>
      <c r="C112" s="1" t="s">
        <v>292</v>
      </c>
      <c r="D112" s="1" t="s">
        <v>293</v>
      </c>
      <c r="E112" s="3" t="s">
        <v>200</v>
      </c>
      <c r="F112" s="3" t="s">
        <v>294</v>
      </c>
      <c r="G112" s="1" t="s">
        <v>269</v>
      </c>
      <c r="H112" s="6">
        <f>COUNTIF(ValidTeams[],E112)</f>
        <v>0</v>
      </c>
    </row>
    <row r="113" spans="1:8" x14ac:dyDescent="0.25">
      <c r="A113" s="1">
        <v>10</v>
      </c>
      <c r="B113">
        <f t="shared" si="7"/>
        <v>11</v>
      </c>
      <c r="C113" s="1" t="s">
        <v>295</v>
      </c>
      <c r="D113" s="1" t="s">
        <v>139</v>
      </c>
      <c r="E113" s="3" t="s">
        <v>18</v>
      </c>
      <c r="F113" s="3" t="s">
        <v>296</v>
      </c>
      <c r="G113" s="1" t="s">
        <v>269</v>
      </c>
      <c r="H113" s="6">
        <f>COUNTIF(ValidTeams[],E113)</f>
        <v>1</v>
      </c>
    </row>
    <row r="114" spans="1:8" x14ac:dyDescent="0.25">
      <c r="A114" s="1">
        <v>11</v>
      </c>
      <c r="B114">
        <f t="shared" si="7"/>
        <v>0</v>
      </c>
      <c r="C114" s="1" t="s">
        <v>297</v>
      </c>
      <c r="D114" s="1" t="s">
        <v>298</v>
      </c>
      <c r="E114" s="3" t="s">
        <v>299</v>
      </c>
      <c r="F114" s="3" t="s">
        <v>300</v>
      </c>
      <c r="G114" s="1" t="s">
        <v>269</v>
      </c>
      <c r="H114" s="6">
        <f>COUNTIF(ValidTeams[],E114)</f>
        <v>0</v>
      </c>
    </row>
    <row r="115" spans="1:8" x14ac:dyDescent="0.25">
      <c r="A115" s="1">
        <v>12</v>
      </c>
      <c r="B115">
        <f t="shared" si="7"/>
        <v>9</v>
      </c>
      <c r="C115" s="1" t="s">
        <v>301</v>
      </c>
      <c r="D115" s="1" t="s">
        <v>174</v>
      </c>
      <c r="E115" s="3" t="s">
        <v>18</v>
      </c>
      <c r="F115" s="3" t="s">
        <v>302</v>
      </c>
      <c r="G115" s="1" t="s">
        <v>269</v>
      </c>
      <c r="H115" s="6">
        <f>COUNTIF(ValidTeams[],E115)</f>
        <v>1</v>
      </c>
    </row>
    <row r="116" spans="1:8" x14ac:dyDescent="0.25">
      <c r="A116" s="1">
        <v>13</v>
      </c>
      <c r="B116">
        <f t="shared" si="7"/>
        <v>8</v>
      </c>
      <c r="C116" s="1" t="s">
        <v>303</v>
      </c>
      <c r="D116" s="1" t="s">
        <v>304</v>
      </c>
      <c r="E116" s="3" t="s">
        <v>275</v>
      </c>
      <c r="F116" s="3" t="s">
        <v>305</v>
      </c>
      <c r="G116" s="1" t="s">
        <v>269</v>
      </c>
      <c r="H116" s="6">
        <f>COUNTIF(ValidTeams[],E116)</f>
        <v>1</v>
      </c>
    </row>
    <row r="117" spans="1:8" x14ac:dyDescent="0.25">
      <c r="A117" s="1">
        <v>14</v>
      </c>
      <c r="B117">
        <f t="shared" si="7"/>
        <v>0</v>
      </c>
      <c r="C117" s="1" t="s">
        <v>306</v>
      </c>
      <c r="D117" s="1" t="s">
        <v>90</v>
      </c>
      <c r="E117" s="3" t="s">
        <v>307</v>
      </c>
      <c r="F117" s="3" t="s">
        <v>308</v>
      </c>
      <c r="G117" s="1" t="s">
        <v>269</v>
      </c>
      <c r="H117" s="6">
        <f>COUNTIF(ValidTeams[],E117)</f>
        <v>0</v>
      </c>
    </row>
    <row r="118" spans="1:8" x14ac:dyDescent="0.25">
      <c r="A118">
        <v>15</v>
      </c>
      <c r="B118">
        <f t="shared" si="7"/>
        <v>6</v>
      </c>
      <c r="C118" t="s">
        <v>309</v>
      </c>
      <c r="D118" t="s">
        <v>310</v>
      </c>
      <c r="E118" t="s">
        <v>505</v>
      </c>
      <c r="F118" t="s">
        <v>311</v>
      </c>
      <c r="G118" t="s">
        <v>269</v>
      </c>
      <c r="H118">
        <f>COUNTIF(ValidTeams[],E118)</f>
        <v>1</v>
      </c>
    </row>
    <row r="119" spans="1:8" x14ac:dyDescent="0.25">
      <c r="A119" s="1">
        <v>16</v>
      </c>
      <c r="B119">
        <f t="shared" si="7"/>
        <v>5</v>
      </c>
      <c r="C119" s="1" t="s">
        <v>312</v>
      </c>
      <c r="D119" s="1" t="s">
        <v>85</v>
      </c>
      <c r="E119" s="3" t="s">
        <v>313</v>
      </c>
      <c r="F119" s="3" t="s">
        <v>314</v>
      </c>
      <c r="G119" s="1" t="s">
        <v>269</v>
      </c>
      <c r="H119" s="6">
        <f>COUNTIF(ValidTeams[],E119)</f>
        <v>1</v>
      </c>
    </row>
    <row r="120" spans="1:8" x14ac:dyDescent="0.25">
      <c r="A120" s="1">
        <v>17</v>
      </c>
      <c r="B120">
        <f t="shared" si="7"/>
        <v>4</v>
      </c>
      <c r="C120" s="1" t="s">
        <v>315</v>
      </c>
      <c r="D120" s="1" t="s">
        <v>23</v>
      </c>
      <c r="E120" s="3" t="s">
        <v>18</v>
      </c>
      <c r="F120" s="3" t="s">
        <v>316</v>
      </c>
      <c r="G120" s="1" t="s">
        <v>269</v>
      </c>
      <c r="H120" s="6">
        <f>COUNTIF(ValidTeams[],E120)</f>
        <v>1</v>
      </c>
    </row>
    <row r="121" spans="1:8" x14ac:dyDescent="0.25">
      <c r="A121" s="1">
        <v>18</v>
      </c>
      <c r="B121">
        <f t="shared" si="7"/>
        <v>3</v>
      </c>
      <c r="C121" s="1" t="s">
        <v>317</v>
      </c>
      <c r="D121" s="1" t="s">
        <v>318</v>
      </c>
      <c r="E121" s="3" t="s">
        <v>44</v>
      </c>
      <c r="F121" s="3" t="s">
        <v>319</v>
      </c>
      <c r="G121" s="1" t="s">
        <v>269</v>
      </c>
      <c r="H121" s="6">
        <f>COUNTIF(ValidTeams[],E121)</f>
        <v>1</v>
      </c>
    </row>
    <row r="122" spans="1:8" x14ac:dyDescent="0.25">
      <c r="A122">
        <v>19</v>
      </c>
      <c r="B122">
        <f t="shared" si="7"/>
        <v>0</v>
      </c>
      <c r="C122" t="s">
        <v>320</v>
      </c>
      <c r="D122" t="s">
        <v>321</v>
      </c>
      <c r="E122"/>
      <c r="F122" t="s">
        <v>322</v>
      </c>
      <c r="G122" t="s">
        <v>269</v>
      </c>
      <c r="H122">
        <f>COUNTIF(ValidTeams[],E122)</f>
        <v>0</v>
      </c>
    </row>
    <row r="123" spans="1:8" x14ac:dyDescent="0.25">
      <c r="A123">
        <v>20</v>
      </c>
      <c r="B123">
        <f t="shared" si="7"/>
        <v>0</v>
      </c>
      <c r="C123" t="s">
        <v>323</v>
      </c>
      <c r="D123" t="s">
        <v>324</v>
      </c>
      <c r="E123"/>
      <c r="F123" t="s">
        <v>325</v>
      </c>
      <c r="G123" t="s">
        <v>269</v>
      </c>
      <c r="H123">
        <f>COUNTIF(ValidTeams[],E123)</f>
        <v>0</v>
      </c>
    </row>
    <row r="124" spans="1:8" x14ac:dyDescent="0.25">
      <c r="A124">
        <v>21</v>
      </c>
      <c r="B124">
        <f t="shared" si="7"/>
        <v>0</v>
      </c>
      <c r="C124" t="s">
        <v>102</v>
      </c>
      <c r="D124" t="s">
        <v>174</v>
      </c>
      <c r="E124" t="s">
        <v>100</v>
      </c>
      <c r="F124" t="s">
        <v>326</v>
      </c>
      <c r="G124" t="s">
        <v>269</v>
      </c>
      <c r="H124">
        <f>COUNTIF(ValidTeams[],E124)</f>
        <v>1</v>
      </c>
    </row>
    <row r="125" spans="1:8" x14ac:dyDescent="0.25">
      <c r="A125">
        <v>22</v>
      </c>
      <c r="B125">
        <f t="shared" si="7"/>
        <v>0</v>
      </c>
      <c r="C125" t="s">
        <v>327</v>
      </c>
      <c r="D125" t="s">
        <v>257</v>
      </c>
      <c r="E125"/>
      <c r="F125" t="s">
        <v>328</v>
      </c>
      <c r="G125" t="s">
        <v>269</v>
      </c>
      <c r="H125">
        <f>COUNTIF(ValidTeams[],E125)</f>
        <v>0</v>
      </c>
    </row>
    <row r="126" spans="1:8" x14ac:dyDescent="0.25">
      <c r="F126" s="2"/>
    </row>
    <row r="127" spans="1:8" x14ac:dyDescent="0.25">
      <c r="A127" s="4" t="s">
        <v>0</v>
      </c>
      <c r="B127" s="4" t="s">
        <v>73</v>
      </c>
      <c r="C127" s="4" t="s">
        <v>1</v>
      </c>
      <c r="D127" s="4" t="s">
        <v>2</v>
      </c>
      <c r="E127" s="5" t="s">
        <v>3</v>
      </c>
      <c r="F127" s="5" t="s">
        <v>4</v>
      </c>
      <c r="G127" s="4" t="s">
        <v>5</v>
      </c>
      <c r="H127" s="4" t="s">
        <v>72</v>
      </c>
    </row>
    <row r="128" spans="1:8" x14ac:dyDescent="0.25">
      <c r="A128" s="1">
        <v>1</v>
      </c>
      <c r="B128">
        <f t="shared" ref="B128:B137" si="8">IF(H128=1,MAX(21-A128,0),0)</f>
        <v>20</v>
      </c>
      <c r="C128" s="1" t="s">
        <v>329</v>
      </c>
      <c r="D128" s="1" t="s">
        <v>330</v>
      </c>
      <c r="E128" s="3" t="s">
        <v>441</v>
      </c>
      <c r="F128" s="3" t="s">
        <v>314</v>
      </c>
      <c r="G128" s="1" t="s">
        <v>331</v>
      </c>
      <c r="H128" s="6">
        <f>COUNTIF(ValidTeams[],E128)</f>
        <v>1</v>
      </c>
    </row>
    <row r="129" spans="1:8" x14ac:dyDescent="0.25">
      <c r="A129" s="1">
        <v>2</v>
      </c>
      <c r="B129">
        <f t="shared" si="8"/>
        <v>19</v>
      </c>
      <c r="C129" s="1" t="s">
        <v>332</v>
      </c>
      <c r="D129" s="1" t="s">
        <v>333</v>
      </c>
      <c r="E129" s="3" t="s">
        <v>38</v>
      </c>
      <c r="F129" s="3" t="s">
        <v>334</v>
      </c>
      <c r="G129" s="1" t="s">
        <v>331</v>
      </c>
      <c r="H129" s="6">
        <f>COUNTIF(ValidTeams[],E129)</f>
        <v>1</v>
      </c>
    </row>
    <row r="130" spans="1:8" x14ac:dyDescent="0.25">
      <c r="A130" s="1">
        <v>3</v>
      </c>
      <c r="B130">
        <f t="shared" si="8"/>
        <v>18</v>
      </c>
      <c r="C130" s="1" t="s">
        <v>335</v>
      </c>
      <c r="D130" s="1" t="s">
        <v>336</v>
      </c>
      <c r="E130" s="3" t="s">
        <v>88</v>
      </c>
      <c r="F130" s="3" t="s">
        <v>337</v>
      </c>
      <c r="G130" s="1" t="s">
        <v>331</v>
      </c>
      <c r="H130" s="6">
        <f>COUNTIF(ValidTeams[],E130)</f>
        <v>1</v>
      </c>
    </row>
    <row r="131" spans="1:8" x14ac:dyDescent="0.25">
      <c r="A131" s="1">
        <v>4</v>
      </c>
      <c r="B131">
        <f t="shared" si="8"/>
        <v>17</v>
      </c>
      <c r="C131" s="1" t="s">
        <v>338</v>
      </c>
      <c r="D131" s="1" t="s">
        <v>339</v>
      </c>
      <c r="E131" s="3" t="s">
        <v>441</v>
      </c>
      <c r="F131" s="3" t="s">
        <v>340</v>
      </c>
      <c r="G131" s="1" t="s">
        <v>331</v>
      </c>
      <c r="H131" s="6">
        <f>COUNTIF(ValidTeams[],E131)</f>
        <v>1</v>
      </c>
    </row>
    <row r="132" spans="1:8" x14ac:dyDescent="0.25">
      <c r="A132" s="1">
        <v>5</v>
      </c>
      <c r="B132">
        <f t="shared" si="8"/>
        <v>16</v>
      </c>
      <c r="C132" s="1" t="s">
        <v>6</v>
      </c>
      <c r="D132" s="1" t="s">
        <v>341</v>
      </c>
      <c r="E132" s="3" t="s">
        <v>8</v>
      </c>
      <c r="F132" s="3" t="s">
        <v>342</v>
      </c>
      <c r="G132" s="1" t="s">
        <v>331</v>
      </c>
      <c r="H132" s="6">
        <f>COUNTIF(ValidTeams[],E132)</f>
        <v>1</v>
      </c>
    </row>
    <row r="133" spans="1:8" x14ac:dyDescent="0.25">
      <c r="A133" s="1">
        <v>6</v>
      </c>
      <c r="B133">
        <f t="shared" si="8"/>
        <v>15</v>
      </c>
      <c r="C133" s="1" t="s">
        <v>343</v>
      </c>
      <c r="D133" s="1" t="s">
        <v>344</v>
      </c>
      <c r="E133" s="3" t="s">
        <v>345</v>
      </c>
      <c r="F133" s="3" t="s">
        <v>346</v>
      </c>
      <c r="G133" s="1" t="s">
        <v>331</v>
      </c>
      <c r="H133" s="6">
        <f>COUNTIF(ValidTeams[],E133)</f>
        <v>1</v>
      </c>
    </row>
    <row r="134" spans="1:8" x14ac:dyDescent="0.25">
      <c r="A134" s="1">
        <v>7</v>
      </c>
      <c r="B134">
        <f t="shared" si="8"/>
        <v>14</v>
      </c>
      <c r="C134" s="1" t="s">
        <v>347</v>
      </c>
      <c r="D134" s="1" t="s">
        <v>348</v>
      </c>
      <c r="E134" s="3" t="s">
        <v>349</v>
      </c>
      <c r="F134" s="3" t="s">
        <v>350</v>
      </c>
      <c r="G134" s="1" t="s">
        <v>331</v>
      </c>
      <c r="H134" s="6">
        <f>COUNTIF(ValidTeams[],E134)</f>
        <v>1</v>
      </c>
    </row>
    <row r="135" spans="1:8" x14ac:dyDescent="0.25">
      <c r="A135" s="1">
        <v>8</v>
      </c>
      <c r="B135">
        <f t="shared" si="8"/>
        <v>13</v>
      </c>
      <c r="C135" s="1" t="s">
        <v>351</v>
      </c>
      <c r="D135" s="1" t="s">
        <v>352</v>
      </c>
      <c r="E135" s="3" t="s">
        <v>38</v>
      </c>
      <c r="F135" s="3" t="s">
        <v>353</v>
      </c>
      <c r="G135" s="1" t="s">
        <v>331</v>
      </c>
      <c r="H135" s="6">
        <f>COUNTIF(ValidTeams[],E135)</f>
        <v>1</v>
      </c>
    </row>
    <row r="136" spans="1:8" x14ac:dyDescent="0.25">
      <c r="A136" s="1">
        <v>9</v>
      </c>
      <c r="B136">
        <f t="shared" si="8"/>
        <v>12</v>
      </c>
      <c r="C136" s="1" t="s">
        <v>354</v>
      </c>
      <c r="D136" s="1" t="s">
        <v>81</v>
      </c>
      <c r="E136" s="3" t="s">
        <v>91</v>
      </c>
      <c r="F136" s="3" t="s">
        <v>355</v>
      </c>
      <c r="G136" s="1" t="s">
        <v>331</v>
      </c>
      <c r="H136" s="6">
        <f>COUNTIF(ValidTeams[],E136)</f>
        <v>1</v>
      </c>
    </row>
    <row r="137" spans="1:8" x14ac:dyDescent="0.25">
      <c r="A137" s="1">
        <v>10</v>
      </c>
      <c r="B137">
        <f t="shared" si="8"/>
        <v>11</v>
      </c>
      <c r="C137" s="1" t="s">
        <v>356</v>
      </c>
      <c r="D137" s="1" t="s">
        <v>357</v>
      </c>
      <c r="E137" s="3" t="s">
        <v>100</v>
      </c>
      <c r="F137" s="3" t="s">
        <v>358</v>
      </c>
      <c r="G137" s="1" t="s">
        <v>331</v>
      </c>
      <c r="H137" s="6">
        <f>COUNTIF(ValidTeams[],E137)</f>
        <v>1</v>
      </c>
    </row>
    <row r="138" spans="1:8" x14ac:dyDescent="0.25">
      <c r="F138" s="2"/>
    </row>
    <row r="139" spans="1:8" x14ac:dyDescent="0.25">
      <c r="A139" s="4" t="s">
        <v>0</v>
      </c>
      <c r="B139" s="4" t="s">
        <v>73</v>
      </c>
      <c r="C139" s="4" t="s">
        <v>1</v>
      </c>
      <c r="D139" s="4" t="s">
        <v>2</v>
      </c>
      <c r="E139" s="5" t="s">
        <v>3</v>
      </c>
      <c r="F139" s="5" t="s">
        <v>4</v>
      </c>
      <c r="G139" s="4" t="s">
        <v>5</v>
      </c>
      <c r="H139" s="4" t="s">
        <v>72</v>
      </c>
    </row>
    <row r="140" spans="1:8" x14ac:dyDescent="0.25">
      <c r="A140" s="1">
        <v>1</v>
      </c>
      <c r="B140">
        <f t="shared" ref="B140:B153" si="9">IF(H140=1,MAX(21-A140,0),0)</f>
        <v>0</v>
      </c>
      <c r="C140" s="1" t="s">
        <v>359</v>
      </c>
      <c r="D140" s="1" t="s">
        <v>360</v>
      </c>
      <c r="E140" s="3" t="s">
        <v>361</v>
      </c>
      <c r="F140" s="3" t="s">
        <v>362</v>
      </c>
      <c r="G140" s="1" t="s">
        <v>363</v>
      </c>
      <c r="H140" s="6">
        <f>COUNTIF(ValidTeams[],E140)</f>
        <v>0</v>
      </c>
    </row>
    <row r="141" spans="1:8" x14ac:dyDescent="0.25">
      <c r="A141" s="1">
        <v>2</v>
      </c>
      <c r="B141">
        <f t="shared" si="9"/>
        <v>19</v>
      </c>
      <c r="C141" s="1" t="s">
        <v>66</v>
      </c>
      <c r="D141" s="1" t="s">
        <v>176</v>
      </c>
      <c r="E141" s="3" t="s">
        <v>442</v>
      </c>
      <c r="F141" s="3" t="s">
        <v>364</v>
      </c>
      <c r="G141" s="1" t="s">
        <v>363</v>
      </c>
      <c r="H141" s="6">
        <f>COUNTIF(ValidTeams[],E141)</f>
        <v>1</v>
      </c>
    </row>
    <row r="142" spans="1:8" x14ac:dyDescent="0.25">
      <c r="A142" s="1">
        <v>3</v>
      </c>
      <c r="B142">
        <f t="shared" si="9"/>
        <v>18</v>
      </c>
      <c r="C142" s="1" t="s">
        <v>365</v>
      </c>
      <c r="D142" s="1" t="s">
        <v>366</v>
      </c>
      <c r="E142" s="3" t="s">
        <v>222</v>
      </c>
      <c r="F142" s="3" t="s">
        <v>367</v>
      </c>
      <c r="G142" s="1" t="s">
        <v>363</v>
      </c>
      <c r="H142" s="6">
        <f>COUNTIF(ValidTeams[],E142)</f>
        <v>1</v>
      </c>
    </row>
    <row r="143" spans="1:8" x14ac:dyDescent="0.25">
      <c r="A143" s="1">
        <v>4</v>
      </c>
      <c r="B143">
        <f t="shared" si="9"/>
        <v>17</v>
      </c>
      <c r="C143" s="1" t="s">
        <v>84</v>
      </c>
      <c r="D143" s="1" t="s">
        <v>368</v>
      </c>
      <c r="E143" s="3" t="s">
        <v>442</v>
      </c>
      <c r="F143" s="3" t="s">
        <v>369</v>
      </c>
      <c r="G143" s="1" t="s">
        <v>363</v>
      </c>
      <c r="H143" s="6">
        <f>COUNTIF(ValidTeams[],E143)</f>
        <v>1</v>
      </c>
    </row>
    <row r="144" spans="1:8" x14ac:dyDescent="0.25">
      <c r="A144" s="1">
        <v>5</v>
      </c>
      <c r="B144">
        <f t="shared" si="9"/>
        <v>16</v>
      </c>
      <c r="C144" s="1" t="s">
        <v>370</v>
      </c>
      <c r="D144" s="1" t="s">
        <v>281</v>
      </c>
      <c r="E144" s="3" t="s">
        <v>267</v>
      </c>
      <c r="F144" s="3" t="s">
        <v>371</v>
      </c>
      <c r="G144" s="1" t="s">
        <v>363</v>
      </c>
      <c r="H144" s="6">
        <f>COUNTIF(ValidTeams[],E144)</f>
        <v>1</v>
      </c>
    </row>
    <row r="145" spans="1:8" x14ac:dyDescent="0.25">
      <c r="A145" s="1">
        <v>6</v>
      </c>
      <c r="B145">
        <f t="shared" si="9"/>
        <v>15</v>
      </c>
      <c r="C145" s="1" t="s">
        <v>372</v>
      </c>
      <c r="D145" s="1" t="s">
        <v>278</v>
      </c>
      <c r="E145" s="3" t="s">
        <v>267</v>
      </c>
      <c r="F145" s="3" t="s">
        <v>373</v>
      </c>
      <c r="G145" s="1" t="s">
        <v>363</v>
      </c>
      <c r="H145" s="6">
        <f>COUNTIF(ValidTeams[],E145)</f>
        <v>1</v>
      </c>
    </row>
    <row r="146" spans="1:8" x14ac:dyDescent="0.25">
      <c r="A146" s="1">
        <v>7</v>
      </c>
      <c r="B146">
        <f t="shared" si="9"/>
        <v>14</v>
      </c>
      <c r="C146" s="1" t="s">
        <v>374</v>
      </c>
      <c r="D146" s="1" t="s">
        <v>375</v>
      </c>
      <c r="E146" s="3" t="s">
        <v>376</v>
      </c>
      <c r="F146" s="3" t="s">
        <v>377</v>
      </c>
      <c r="G146" s="1" t="s">
        <v>363</v>
      </c>
      <c r="H146" s="6">
        <f>COUNTIF(ValidTeams[],E146)</f>
        <v>1</v>
      </c>
    </row>
    <row r="147" spans="1:8" x14ac:dyDescent="0.25">
      <c r="A147" s="1">
        <v>8</v>
      </c>
      <c r="B147">
        <f t="shared" si="9"/>
        <v>0</v>
      </c>
      <c r="C147" s="1" t="s">
        <v>378</v>
      </c>
      <c r="D147" s="1" t="s">
        <v>14</v>
      </c>
      <c r="E147" s="3" t="s">
        <v>167</v>
      </c>
      <c r="F147" s="3" t="s">
        <v>379</v>
      </c>
      <c r="G147" s="1" t="s">
        <v>363</v>
      </c>
      <c r="H147" s="6">
        <f>COUNTIF(ValidTeams[],E147)</f>
        <v>0</v>
      </c>
    </row>
    <row r="148" spans="1:8" x14ac:dyDescent="0.25">
      <c r="A148" s="1">
        <v>9</v>
      </c>
      <c r="B148">
        <f t="shared" si="9"/>
        <v>0</v>
      </c>
      <c r="C148" s="1" t="s">
        <v>380</v>
      </c>
      <c r="D148" s="1" t="s">
        <v>194</v>
      </c>
      <c r="E148" s="3" t="s">
        <v>167</v>
      </c>
      <c r="F148" s="3" t="s">
        <v>381</v>
      </c>
      <c r="G148" s="1" t="s">
        <v>363</v>
      </c>
      <c r="H148" s="6">
        <f>COUNTIF(ValidTeams[],E148)</f>
        <v>0</v>
      </c>
    </row>
    <row r="149" spans="1:8" x14ac:dyDescent="0.25">
      <c r="A149">
        <v>10</v>
      </c>
      <c r="B149">
        <f t="shared" si="9"/>
        <v>0</v>
      </c>
      <c r="C149" t="s">
        <v>382</v>
      </c>
      <c r="D149" t="s">
        <v>383</v>
      </c>
      <c r="E149"/>
      <c r="F149" t="s">
        <v>384</v>
      </c>
      <c r="G149" t="s">
        <v>363</v>
      </c>
      <c r="H149">
        <f>COUNTIF(ValidTeams[],E149)</f>
        <v>0</v>
      </c>
    </row>
    <row r="150" spans="1:8" x14ac:dyDescent="0.25">
      <c r="A150">
        <v>11</v>
      </c>
      <c r="B150">
        <f t="shared" si="9"/>
        <v>0</v>
      </c>
      <c r="C150" t="s">
        <v>385</v>
      </c>
      <c r="D150" t="s">
        <v>386</v>
      </c>
      <c r="E150"/>
      <c r="F150" t="s">
        <v>387</v>
      </c>
      <c r="G150" t="s">
        <v>363</v>
      </c>
      <c r="H150">
        <f>COUNTIF(ValidTeams[],E150)</f>
        <v>0</v>
      </c>
    </row>
    <row r="151" spans="1:8" x14ac:dyDescent="0.25">
      <c r="A151">
        <v>12</v>
      </c>
      <c r="B151">
        <f t="shared" si="9"/>
        <v>9</v>
      </c>
      <c r="C151" t="s">
        <v>388</v>
      </c>
      <c r="D151" t="s">
        <v>33</v>
      </c>
      <c r="E151" t="s">
        <v>389</v>
      </c>
      <c r="F151" t="s">
        <v>390</v>
      </c>
      <c r="G151" t="s">
        <v>363</v>
      </c>
      <c r="H151">
        <f>COUNTIF(ValidTeams[],E151)</f>
        <v>1</v>
      </c>
    </row>
    <row r="152" spans="1:8" x14ac:dyDescent="0.25">
      <c r="A152">
        <v>13</v>
      </c>
      <c r="B152">
        <f t="shared" si="9"/>
        <v>0</v>
      </c>
      <c r="C152" t="s">
        <v>391</v>
      </c>
      <c r="D152" t="s">
        <v>392</v>
      </c>
      <c r="E152"/>
      <c r="F152" t="s">
        <v>393</v>
      </c>
      <c r="G152" t="s">
        <v>363</v>
      </c>
      <c r="H152">
        <f>COUNTIF(ValidTeams[],E152)</f>
        <v>0</v>
      </c>
    </row>
    <row r="153" spans="1:8" x14ac:dyDescent="0.25">
      <c r="A153">
        <v>14</v>
      </c>
      <c r="B153">
        <f t="shared" si="9"/>
        <v>7</v>
      </c>
      <c r="C153" t="s">
        <v>94</v>
      </c>
      <c r="D153" t="s">
        <v>394</v>
      </c>
      <c r="E153" t="s">
        <v>91</v>
      </c>
      <c r="F153" t="s">
        <v>395</v>
      </c>
      <c r="G153" t="s">
        <v>363</v>
      </c>
      <c r="H153">
        <f>COUNTIF(ValidTeams[],E153)</f>
        <v>1</v>
      </c>
    </row>
    <row r="154" spans="1:8" x14ac:dyDescent="0.25">
      <c r="F154" s="2"/>
    </row>
    <row r="155" spans="1:8" x14ac:dyDescent="0.25">
      <c r="A155" s="4" t="s">
        <v>0</v>
      </c>
      <c r="B155" s="4" t="s">
        <v>73</v>
      </c>
      <c r="C155" s="4" t="s">
        <v>1</v>
      </c>
      <c r="D155" s="4" t="s">
        <v>2</v>
      </c>
      <c r="E155" s="5" t="s">
        <v>3</v>
      </c>
      <c r="F155" s="5" t="s">
        <v>4</v>
      </c>
      <c r="G155" s="4" t="s">
        <v>5</v>
      </c>
      <c r="H155" s="4" t="s">
        <v>72</v>
      </c>
    </row>
    <row r="156" spans="1:8" x14ac:dyDescent="0.25">
      <c r="A156" s="1">
        <v>1</v>
      </c>
      <c r="B156">
        <f t="shared" ref="B156:B158" si="10">IF(H156=1,MAX(21-A156,0),0)</f>
        <v>20</v>
      </c>
      <c r="C156" s="1" t="s">
        <v>396</v>
      </c>
      <c r="D156" s="1" t="s">
        <v>397</v>
      </c>
      <c r="E156" s="3" t="s">
        <v>88</v>
      </c>
      <c r="F156" s="3" t="s">
        <v>398</v>
      </c>
      <c r="G156" s="1" t="s">
        <v>399</v>
      </c>
      <c r="H156" s="6">
        <f>COUNTIF(ValidTeams[],E156)</f>
        <v>1</v>
      </c>
    </row>
    <row r="157" spans="1:8" x14ac:dyDescent="0.25">
      <c r="A157" s="1">
        <v>2</v>
      </c>
      <c r="B157">
        <f t="shared" si="10"/>
        <v>19</v>
      </c>
      <c r="C157" s="1" t="s">
        <v>400</v>
      </c>
      <c r="D157" s="1" t="s">
        <v>401</v>
      </c>
      <c r="E157" s="3" t="s">
        <v>290</v>
      </c>
      <c r="F157" s="3" t="s">
        <v>402</v>
      </c>
      <c r="G157" s="1" t="s">
        <v>399</v>
      </c>
      <c r="H157" s="6">
        <f>COUNTIF(ValidTeams[],E157)</f>
        <v>1</v>
      </c>
    </row>
    <row r="158" spans="1:8" x14ac:dyDescent="0.25">
      <c r="A158" s="1">
        <v>3</v>
      </c>
      <c r="B158">
        <f t="shared" si="10"/>
        <v>18</v>
      </c>
      <c r="C158" s="1" t="s">
        <v>354</v>
      </c>
      <c r="D158" s="1" t="s">
        <v>81</v>
      </c>
      <c r="E158" s="3" t="s">
        <v>91</v>
      </c>
      <c r="F158" s="3" t="s">
        <v>403</v>
      </c>
      <c r="G158" s="1" t="s">
        <v>399</v>
      </c>
      <c r="H158" s="6">
        <f>COUNTIF(ValidTeams[],E158)</f>
        <v>1</v>
      </c>
    </row>
    <row r="159" spans="1:8" x14ac:dyDescent="0.25">
      <c r="F159" s="2"/>
    </row>
    <row r="160" spans="1:8" x14ac:dyDescent="0.25">
      <c r="A160" s="4" t="s">
        <v>0</v>
      </c>
      <c r="B160" s="4" t="s">
        <v>73</v>
      </c>
      <c r="C160" s="4" t="s">
        <v>1</v>
      </c>
      <c r="D160" s="4" t="s">
        <v>2</v>
      </c>
      <c r="E160" s="5" t="s">
        <v>3</v>
      </c>
      <c r="F160" s="5" t="s">
        <v>4</v>
      </c>
      <c r="G160" s="4" t="s">
        <v>5</v>
      </c>
      <c r="H160" s="4" t="s">
        <v>72</v>
      </c>
    </row>
    <row r="161" spans="1:8" x14ac:dyDescent="0.25">
      <c r="A161" s="1">
        <v>1</v>
      </c>
      <c r="B161">
        <f t="shared" ref="B161:B167" si="11">IF(H161=1,MAX(21-A161,0),0)</f>
        <v>0</v>
      </c>
      <c r="C161" s="1" t="s">
        <v>359</v>
      </c>
      <c r="D161" s="1" t="s">
        <v>360</v>
      </c>
      <c r="E161" s="3" t="s">
        <v>361</v>
      </c>
      <c r="F161" s="3" t="s">
        <v>404</v>
      </c>
      <c r="G161" s="1" t="s">
        <v>405</v>
      </c>
      <c r="H161" s="6">
        <f>COUNTIF(ValidTeams[],E161)</f>
        <v>0</v>
      </c>
    </row>
    <row r="162" spans="1:8" x14ac:dyDescent="0.25">
      <c r="A162" s="1">
        <v>2</v>
      </c>
      <c r="B162">
        <f t="shared" si="11"/>
        <v>19</v>
      </c>
      <c r="C162" s="1" t="s">
        <v>406</v>
      </c>
      <c r="D162" s="1" t="s">
        <v>186</v>
      </c>
      <c r="E162" s="3" t="s">
        <v>407</v>
      </c>
      <c r="F162" s="3" t="s">
        <v>408</v>
      </c>
      <c r="G162" s="1" t="s">
        <v>405</v>
      </c>
      <c r="H162" s="6">
        <f>COUNTIF(ValidTeams[],E162)</f>
        <v>1</v>
      </c>
    </row>
    <row r="163" spans="1:8" x14ac:dyDescent="0.25">
      <c r="A163" s="1">
        <v>3</v>
      </c>
      <c r="B163">
        <f t="shared" si="11"/>
        <v>18</v>
      </c>
      <c r="C163" s="1" t="s">
        <v>409</v>
      </c>
      <c r="D163" s="1" t="s">
        <v>225</v>
      </c>
      <c r="E163" s="3" t="s">
        <v>88</v>
      </c>
      <c r="F163" s="3" t="s">
        <v>410</v>
      </c>
      <c r="G163" s="1" t="s">
        <v>405</v>
      </c>
      <c r="H163" s="6">
        <f>COUNTIF(ValidTeams[],E163)</f>
        <v>1</v>
      </c>
    </row>
    <row r="164" spans="1:8" x14ac:dyDescent="0.25">
      <c r="A164" s="1">
        <v>4</v>
      </c>
      <c r="B164">
        <f t="shared" si="11"/>
        <v>17</v>
      </c>
      <c r="C164" s="1" t="s">
        <v>411</v>
      </c>
      <c r="D164" s="1" t="s">
        <v>412</v>
      </c>
      <c r="E164" s="3" t="s">
        <v>413</v>
      </c>
      <c r="F164" s="3" t="s">
        <v>414</v>
      </c>
      <c r="G164" s="1" t="s">
        <v>405</v>
      </c>
      <c r="H164" s="6">
        <f>COUNTIF(ValidTeams[],E164)</f>
        <v>1</v>
      </c>
    </row>
    <row r="165" spans="1:8" x14ac:dyDescent="0.25">
      <c r="A165" s="1">
        <v>5</v>
      </c>
      <c r="B165">
        <f t="shared" si="11"/>
        <v>16</v>
      </c>
      <c r="C165" s="1" t="s">
        <v>415</v>
      </c>
      <c r="D165" s="1" t="s">
        <v>23</v>
      </c>
      <c r="E165" s="3" t="s">
        <v>38</v>
      </c>
      <c r="F165" s="3" t="s">
        <v>416</v>
      </c>
      <c r="G165" s="1" t="s">
        <v>405</v>
      </c>
      <c r="H165" s="6">
        <f>COUNTIF(ValidTeams[],E165)</f>
        <v>1</v>
      </c>
    </row>
    <row r="166" spans="1:8" x14ac:dyDescent="0.25">
      <c r="A166" s="1">
        <v>6</v>
      </c>
      <c r="B166">
        <f t="shared" si="11"/>
        <v>15</v>
      </c>
      <c r="C166" s="1" t="s">
        <v>417</v>
      </c>
      <c r="D166" s="1" t="s">
        <v>30</v>
      </c>
      <c r="E166" s="3" t="s">
        <v>418</v>
      </c>
      <c r="F166" s="3" t="s">
        <v>419</v>
      </c>
      <c r="G166" s="1" t="s">
        <v>405</v>
      </c>
      <c r="H166" s="6">
        <f>COUNTIF(ValidTeams[],E166)</f>
        <v>1</v>
      </c>
    </row>
    <row r="167" spans="1:8" x14ac:dyDescent="0.25">
      <c r="A167" s="1">
        <v>7</v>
      </c>
      <c r="B167">
        <f t="shared" si="11"/>
        <v>14</v>
      </c>
      <c r="C167" s="1" t="s">
        <v>420</v>
      </c>
      <c r="D167" s="1" t="s">
        <v>421</v>
      </c>
      <c r="E167" s="3" t="s">
        <v>422</v>
      </c>
      <c r="F167" s="3" t="s">
        <v>423</v>
      </c>
      <c r="G167" s="1" t="s">
        <v>405</v>
      </c>
      <c r="H167" s="6">
        <f>COUNTIF(ValidTeams[],E167)</f>
        <v>1</v>
      </c>
    </row>
    <row r="168" spans="1:8" x14ac:dyDescent="0.25">
      <c r="F168" s="2"/>
    </row>
    <row r="169" spans="1:8" x14ac:dyDescent="0.25">
      <c r="A169" s="4" t="s">
        <v>0</v>
      </c>
      <c r="B169" s="4" t="s">
        <v>73</v>
      </c>
      <c r="C169" s="4" t="s">
        <v>1</v>
      </c>
      <c r="D169" s="4" t="s">
        <v>2</v>
      </c>
      <c r="E169" s="5" t="s">
        <v>3</v>
      </c>
      <c r="F169" s="5" t="s">
        <v>4</v>
      </c>
      <c r="G169" s="4" t="s">
        <v>5</v>
      </c>
      <c r="H169" s="4" t="s">
        <v>72</v>
      </c>
    </row>
    <row r="170" spans="1:8" x14ac:dyDescent="0.25">
      <c r="A170" s="1">
        <v>1</v>
      </c>
      <c r="B170">
        <f t="shared" ref="B170:B172" si="12">IF(H170=1,MAX(21-A170,0),0)</f>
        <v>20</v>
      </c>
      <c r="C170" s="1" t="s">
        <v>35</v>
      </c>
      <c r="D170" s="1" t="s">
        <v>424</v>
      </c>
      <c r="E170" s="3" t="s">
        <v>49</v>
      </c>
      <c r="F170" s="3" t="s">
        <v>425</v>
      </c>
      <c r="G170" s="1" t="s">
        <v>426</v>
      </c>
      <c r="H170" s="6">
        <f>COUNTIF(ValidTeams[],E170)</f>
        <v>1</v>
      </c>
    </row>
    <row r="171" spans="1:8" x14ac:dyDescent="0.25">
      <c r="A171" s="1">
        <v>2</v>
      </c>
      <c r="B171">
        <f t="shared" si="12"/>
        <v>19</v>
      </c>
      <c r="C171" s="1" t="s">
        <v>427</v>
      </c>
      <c r="D171" s="1" t="s">
        <v>428</v>
      </c>
      <c r="E171" s="3" t="s">
        <v>191</v>
      </c>
      <c r="F171" s="3" t="s">
        <v>429</v>
      </c>
      <c r="G171" s="1" t="s">
        <v>426</v>
      </c>
      <c r="H171" s="6">
        <f>COUNTIF(ValidTeams[],E171)</f>
        <v>1</v>
      </c>
    </row>
    <row r="172" spans="1:8" x14ac:dyDescent="0.25">
      <c r="A172" s="1">
        <v>3</v>
      </c>
      <c r="B172">
        <f t="shared" si="12"/>
        <v>18</v>
      </c>
      <c r="C172" s="1" t="s">
        <v>430</v>
      </c>
      <c r="D172" s="1" t="s">
        <v>431</v>
      </c>
      <c r="E172" s="3" t="s">
        <v>100</v>
      </c>
      <c r="F172" s="3" t="s">
        <v>432</v>
      </c>
      <c r="G172" s="1" t="s">
        <v>426</v>
      </c>
      <c r="H172" s="6">
        <f>COUNTIF(ValidTeams[],E172)</f>
        <v>1</v>
      </c>
    </row>
    <row r="173" spans="1:8" x14ac:dyDescent="0.25">
      <c r="F173" s="2"/>
    </row>
    <row r="174" spans="1:8" x14ac:dyDescent="0.25">
      <c r="F174" s="2"/>
    </row>
    <row r="175" spans="1:8" x14ac:dyDescent="0.25">
      <c r="F175" s="2"/>
    </row>
    <row r="176" spans="1:8" x14ac:dyDescent="0.25">
      <c r="F176" s="2"/>
    </row>
    <row r="177" spans="6:6" x14ac:dyDescent="0.25">
      <c r="F177" s="2"/>
    </row>
    <row r="178" spans="6:6" x14ac:dyDescent="0.25">
      <c r="F178" s="2"/>
    </row>
    <row r="179" spans="6:6" x14ac:dyDescent="0.25">
      <c r="F179" s="2"/>
    </row>
    <row r="180" spans="6:6" x14ac:dyDescent="0.25">
      <c r="F180" s="2"/>
    </row>
    <row r="181" spans="6:6" x14ac:dyDescent="0.25">
      <c r="F181" s="2"/>
    </row>
    <row r="182" spans="6:6" x14ac:dyDescent="0.25">
      <c r="F182" s="2"/>
    </row>
    <row r="183" spans="6:6" x14ac:dyDescent="0.25">
      <c r="F183" s="2"/>
    </row>
    <row r="184" spans="6:6" x14ac:dyDescent="0.25">
      <c r="F184" s="2"/>
    </row>
    <row r="185" spans="6:6" x14ac:dyDescent="0.25">
      <c r="F185" s="2"/>
    </row>
    <row r="186" spans="6:6" x14ac:dyDescent="0.25">
      <c r="F186" s="2"/>
    </row>
    <row r="187" spans="6:6" x14ac:dyDescent="0.25">
      <c r="F187" s="2"/>
    </row>
    <row r="188" spans="6:6" x14ac:dyDescent="0.25">
      <c r="F188" s="2"/>
    </row>
    <row r="189" spans="6:6" x14ac:dyDescent="0.25">
      <c r="F189" s="2"/>
    </row>
    <row r="190" spans="6:6" x14ac:dyDescent="0.25">
      <c r="F190" s="2"/>
    </row>
    <row r="191" spans="6:6" x14ac:dyDescent="0.25">
      <c r="F191" s="2"/>
    </row>
    <row r="192" spans="6:6" x14ac:dyDescent="0.25">
      <c r="F192" s="2"/>
    </row>
    <row r="193" spans="6:6" x14ac:dyDescent="0.25">
      <c r="F193" s="2"/>
    </row>
    <row r="194" spans="6:6" x14ac:dyDescent="0.25">
      <c r="F194" s="2"/>
    </row>
    <row r="195" spans="6:6" x14ac:dyDescent="0.25">
      <c r="F195" s="2"/>
    </row>
    <row r="196" spans="6:6" x14ac:dyDescent="0.25">
      <c r="F196" s="2"/>
    </row>
    <row r="197" spans="6:6" x14ac:dyDescent="0.25">
      <c r="F197" s="2"/>
    </row>
    <row r="198" spans="6:6" x14ac:dyDescent="0.25">
      <c r="F198" s="2"/>
    </row>
    <row r="199" spans="6:6" x14ac:dyDescent="0.25">
      <c r="F199" s="2"/>
    </row>
    <row r="200" spans="6:6" x14ac:dyDescent="0.25">
      <c r="F200" s="2"/>
    </row>
    <row r="201" spans="6:6" x14ac:dyDescent="0.25">
      <c r="F201" s="2"/>
    </row>
    <row r="202" spans="6:6" x14ac:dyDescent="0.25">
      <c r="F202" s="2"/>
    </row>
    <row r="203" spans="6:6" x14ac:dyDescent="0.25">
      <c r="F203" s="2"/>
    </row>
    <row r="204" spans="6:6" x14ac:dyDescent="0.25">
      <c r="F204" s="2"/>
    </row>
    <row r="205" spans="6:6" x14ac:dyDescent="0.25">
      <c r="F205" s="2"/>
    </row>
    <row r="206" spans="6:6" x14ac:dyDescent="0.25">
      <c r="F206" s="2"/>
    </row>
    <row r="207" spans="6:6" x14ac:dyDescent="0.25">
      <c r="F207" s="2"/>
    </row>
    <row r="208" spans="6:6" x14ac:dyDescent="0.25">
      <c r="F208" s="2"/>
    </row>
    <row r="209" spans="6:6" x14ac:dyDescent="0.25">
      <c r="F209" s="2"/>
    </row>
    <row r="210" spans="6:6" x14ac:dyDescent="0.25">
      <c r="F210" s="2"/>
    </row>
    <row r="211" spans="6:6" x14ac:dyDescent="0.25">
      <c r="F211" s="2"/>
    </row>
    <row r="212" spans="6:6" x14ac:dyDescent="0.25">
      <c r="F212" s="2"/>
    </row>
    <row r="213" spans="6:6" x14ac:dyDescent="0.25">
      <c r="F213" s="2"/>
    </row>
    <row r="214" spans="6:6" x14ac:dyDescent="0.25">
      <c r="F214" s="2"/>
    </row>
    <row r="215" spans="6:6" x14ac:dyDescent="0.25">
      <c r="F215" s="2"/>
    </row>
    <row r="216" spans="6:6" x14ac:dyDescent="0.25">
      <c r="F216" s="2"/>
    </row>
    <row r="217" spans="6:6" x14ac:dyDescent="0.25">
      <c r="F217" s="2"/>
    </row>
    <row r="218" spans="6:6" x14ac:dyDescent="0.25">
      <c r="F218" s="2"/>
    </row>
    <row r="219" spans="6:6" x14ac:dyDescent="0.25">
      <c r="F219" s="2"/>
    </row>
    <row r="220" spans="6:6" x14ac:dyDescent="0.25">
      <c r="F220" s="2"/>
    </row>
    <row r="221" spans="6:6" x14ac:dyDescent="0.25">
      <c r="F221" s="2"/>
    </row>
    <row r="222" spans="6:6" x14ac:dyDescent="0.25">
      <c r="F222" s="2"/>
    </row>
    <row r="223" spans="6:6" x14ac:dyDescent="0.25">
      <c r="F223" s="2"/>
    </row>
    <row r="224" spans="6:6" x14ac:dyDescent="0.25">
      <c r="F224" s="2"/>
    </row>
    <row r="225" spans="6:6" x14ac:dyDescent="0.25">
      <c r="F225" s="2"/>
    </row>
    <row r="226" spans="6:6" x14ac:dyDescent="0.25">
      <c r="F226" s="2"/>
    </row>
    <row r="227" spans="6:6" x14ac:dyDescent="0.25">
      <c r="F227" s="2"/>
    </row>
    <row r="228" spans="6:6" x14ac:dyDescent="0.25">
      <c r="F228" s="2"/>
    </row>
    <row r="229" spans="6:6" x14ac:dyDescent="0.25">
      <c r="F229" s="2"/>
    </row>
    <row r="230" spans="6:6" x14ac:dyDescent="0.25">
      <c r="F230" s="2"/>
    </row>
    <row r="231" spans="6:6" x14ac:dyDescent="0.25">
      <c r="F231" s="2"/>
    </row>
    <row r="232" spans="6:6" x14ac:dyDescent="0.25">
      <c r="F232" s="2"/>
    </row>
    <row r="233" spans="6:6" x14ac:dyDescent="0.25">
      <c r="F233" s="2"/>
    </row>
    <row r="234" spans="6:6" x14ac:dyDescent="0.25">
      <c r="F234" s="2"/>
    </row>
    <row r="235" spans="6:6" x14ac:dyDescent="0.25">
      <c r="F235" s="2"/>
    </row>
    <row r="236" spans="6:6" x14ac:dyDescent="0.25">
      <c r="F236" s="2"/>
    </row>
    <row r="237" spans="6:6" x14ac:dyDescent="0.25">
      <c r="F237" s="2"/>
    </row>
    <row r="238" spans="6:6" x14ac:dyDescent="0.25">
      <c r="F238" s="2"/>
    </row>
    <row r="239" spans="6:6" x14ac:dyDescent="0.25">
      <c r="F239" s="2"/>
    </row>
    <row r="240" spans="6:6" x14ac:dyDescent="0.25">
      <c r="F240" s="2"/>
    </row>
    <row r="241" spans="6:6" x14ac:dyDescent="0.25">
      <c r="F241" s="2"/>
    </row>
    <row r="242" spans="6:6" x14ac:dyDescent="0.25">
      <c r="F242" s="2"/>
    </row>
    <row r="243" spans="6:6" x14ac:dyDescent="0.25">
      <c r="F243" s="2"/>
    </row>
    <row r="244" spans="6:6" x14ac:dyDescent="0.25">
      <c r="F244" s="2"/>
    </row>
    <row r="245" spans="6:6" x14ac:dyDescent="0.25">
      <c r="F245" s="2"/>
    </row>
    <row r="246" spans="6:6" x14ac:dyDescent="0.25">
      <c r="F246" s="2"/>
    </row>
    <row r="247" spans="6:6" x14ac:dyDescent="0.25">
      <c r="F247" s="2"/>
    </row>
    <row r="248" spans="6:6" x14ac:dyDescent="0.25">
      <c r="F248" s="2"/>
    </row>
    <row r="249" spans="6:6" x14ac:dyDescent="0.25">
      <c r="F249" s="2"/>
    </row>
    <row r="250" spans="6:6" x14ac:dyDescent="0.25">
      <c r="F250" s="2"/>
    </row>
    <row r="251" spans="6:6" x14ac:dyDescent="0.25">
      <c r="F251" s="2"/>
    </row>
    <row r="252" spans="6:6" x14ac:dyDescent="0.25">
      <c r="F252" s="2"/>
    </row>
    <row r="253" spans="6:6" x14ac:dyDescent="0.25">
      <c r="F253" s="2"/>
    </row>
    <row r="254" spans="6:6" x14ac:dyDescent="0.25">
      <c r="F254" s="2"/>
    </row>
    <row r="255" spans="6:6" x14ac:dyDescent="0.25">
      <c r="F255" s="2"/>
    </row>
    <row r="256" spans="6:6" x14ac:dyDescent="0.25">
      <c r="F256" s="2"/>
    </row>
    <row r="257" spans="6:6" x14ac:dyDescent="0.25">
      <c r="F257" s="2"/>
    </row>
    <row r="258" spans="6:6" x14ac:dyDescent="0.25">
      <c r="F258" s="2"/>
    </row>
    <row r="259" spans="6:6" x14ac:dyDescent="0.25">
      <c r="F259" s="2"/>
    </row>
  </sheetData>
  <conditionalFormatting sqref="E2:E12 E15:E24 E55:E59 E62:E67 E70:E82 E85:E93 E96:E101 E104:E125 E128:E137 E140:E153 E156:E158 E161:E167 E170:E172">
    <cfRule type="expression" dxfId="1813" priority="2">
      <formula>"COUNTIF(K3:K47,E4)&lt;1"</formula>
    </cfRule>
  </conditionalFormatting>
  <conditionalFormatting sqref="H1:H12 H14:H24 H1577:H1048576 H169:H172 H155:H158 H139:H153 H127:H137 H103:H125 H95:H101 H84:H93 H69:H82 H61:H67 H54:H59 H160:H167">
    <cfRule type="cellIs" dxfId="1812" priority="1" operator="lessThan">
      <formula>1</formula>
    </cfRule>
  </conditionalFormatting>
  <pageMargins left="0.7" right="0.7" top="0.75" bottom="0.75" header="0.3" footer="0.3"/>
  <pageSetup scale="89" fitToHeight="0" orientation="landscape" horizontalDpi="4294967293" r:id="rId1"/>
  <tableParts count="1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6C800-1408-493B-B934-3D9A0AF1543A}">
  <sheetPr codeName="Sheet3">
    <pageSetUpPr fitToPage="1"/>
  </sheetPr>
  <dimension ref="A1:H268"/>
  <sheetViews>
    <sheetView zoomScale="85" zoomScaleNormal="85" workbookViewId="0">
      <selection activeCell="A2" sqref="A2:H20"/>
    </sheetView>
  </sheetViews>
  <sheetFormatPr defaultRowHeight="15" x14ac:dyDescent="0.25"/>
  <cols>
    <col min="2" max="2" width="17" customWidth="1"/>
    <col min="3" max="3" width="14.85546875" customWidth="1"/>
    <col min="4" max="4" width="12.28515625" customWidth="1"/>
    <col min="5" max="5" width="37.5703125" style="2" customWidth="1"/>
    <col min="6" max="6" width="15.140625" customWidth="1"/>
    <col min="7" max="7" width="21.140625" customWidth="1"/>
    <col min="10" max="10" width="12.7109375" customWidth="1"/>
    <col min="11" max="11" width="42.7109375" bestFit="1" customWidth="1"/>
    <col min="14" max="14" width="8.42578125" bestFit="1" customWidth="1"/>
  </cols>
  <sheetData>
    <row r="1" spans="1:8" x14ac:dyDescent="0.25">
      <c r="A1" t="s">
        <v>0</v>
      </c>
      <c r="B1" t="s">
        <v>73</v>
      </c>
      <c r="C1" t="s">
        <v>1</v>
      </c>
      <c r="D1" t="s">
        <v>2</v>
      </c>
      <c r="E1" t="s">
        <v>3</v>
      </c>
      <c r="F1" s="2" t="s">
        <v>4</v>
      </c>
      <c r="G1" t="s">
        <v>5</v>
      </c>
      <c r="H1" t="s">
        <v>458</v>
      </c>
    </row>
    <row r="2" spans="1:8" x14ac:dyDescent="0.25">
      <c r="A2">
        <v>1</v>
      </c>
      <c r="B2">
        <f t="shared" ref="B2:B12" si="0">IF(H2=1,MAX(21-A2,0),0)</f>
        <v>20</v>
      </c>
      <c r="C2" t="s">
        <v>10</v>
      </c>
      <c r="D2" t="s">
        <v>11</v>
      </c>
      <c r="E2" t="s">
        <v>12</v>
      </c>
      <c r="F2" s="2" t="s">
        <v>508</v>
      </c>
      <c r="G2" t="s">
        <v>9</v>
      </c>
      <c r="H2">
        <f>COUNTIF(ValidTeams[],E2)</f>
        <v>1</v>
      </c>
    </row>
    <row r="3" spans="1:8" x14ac:dyDescent="0.25">
      <c r="A3">
        <v>2</v>
      </c>
      <c r="B3">
        <f t="shared" si="0"/>
        <v>19</v>
      </c>
      <c r="C3" t="s">
        <v>6</v>
      </c>
      <c r="D3" t="s">
        <v>7</v>
      </c>
      <c r="E3" t="s">
        <v>8</v>
      </c>
      <c r="F3" s="2" t="s">
        <v>509</v>
      </c>
      <c r="G3" t="s">
        <v>9</v>
      </c>
      <c r="H3">
        <f>COUNTIF(ValidTeams[],E3)</f>
        <v>1</v>
      </c>
    </row>
    <row r="4" spans="1:8" x14ac:dyDescent="0.25">
      <c r="A4">
        <v>3</v>
      </c>
      <c r="B4">
        <f t="shared" si="0"/>
        <v>0</v>
      </c>
      <c r="C4" t="s">
        <v>510</v>
      </c>
      <c r="D4" t="s">
        <v>511</v>
      </c>
      <c r="E4"/>
      <c r="F4" s="2" t="s">
        <v>512</v>
      </c>
      <c r="G4" t="s">
        <v>9</v>
      </c>
      <c r="H4">
        <f>COUNTIF(ValidTeams[],E4)</f>
        <v>0</v>
      </c>
    </row>
    <row r="5" spans="1:8" x14ac:dyDescent="0.25">
      <c r="A5">
        <v>4</v>
      </c>
      <c r="B5">
        <f t="shared" si="0"/>
        <v>17</v>
      </c>
      <c r="C5" t="s">
        <v>513</v>
      </c>
      <c r="D5" t="s">
        <v>30</v>
      </c>
      <c r="E5" t="s">
        <v>442</v>
      </c>
      <c r="F5" s="2" t="s">
        <v>514</v>
      </c>
      <c r="G5" t="s">
        <v>9</v>
      </c>
      <c r="H5">
        <f>COUNTIF(ValidTeams[],E5)</f>
        <v>1</v>
      </c>
    </row>
    <row r="6" spans="1:8" x14ac:dyDescent="0.25">
      <c r="A6">
        <v>5</v>
      </c>
      <c r="B6">
        <f t="shared" si="0"/>
        <v>0</v>
      </c>
      <c r="C6" t="s">
        <v>515</v>
      </c>
      <c r="D6" t="s">
        <v>516</v>
      </c>
      <c r="E6" t="s">
        <v>517</v>
      </c>
      <c r="F6" s="2" t="s">
        <v>518</v>
      </c>
      <c r="G6" t="s">
        <v>9</v>
      </c>
      <c r="H6">
        <f>COUNTIF(ValidTeams[],E6)</f>
        <v>0</v>
      </c>
    </row>
    <row r="7" spans="1:8" x14ac:dyDescent="0.25">
      <c r="A7">
        <v>6</v>
      </c>
      <c r="B7">
        <f t="shared" si="0"/>
        <v>0</v>
      </c>
      <c r="C7" t="s">
        <v>519</v>
      </c>
      <c r="D7" t="s">
        <v>11</v>
      </c>
      <c r="E7" t="s">
        <v>520</v>
      </c>
      <c r="F7" s="2" t="s">
        <v>521</v>
      </c>
      <c r="G7" t="s">
        <v>9</v>
      </c>
      <c r="H7">
        <f>COUNTIF(ValidTeams[],E7)</f>
        <v>0</v>
      </c>
    </row>
    <row r="8" spans="1:8" x14ac:dyDescent="0.25">
      <c r="A8">
        <v>7</v>
      </c>
      <c r="B8">
        <f t="shared" si="0"/>
        <v>14</v>
      </c>
      <c r="C8" t="s">
        <v>13</v>
      </c>
      <c r="D8" t="s">
        <v>14</v>
      </c>
      <c r="E8" t="s">
        <v>15</v>
      </c>
      <c r="F8" s="2" t="s">
        <v>522</v>
      </c>
      <c r="G8" t="s">
        <v>9</v>
      </c>
      <c r="H8">
        <f>COUNTIF(ValidTeams[],E8)</f>
        <v>1</v>
      </c>
    </row>
    <row r="9" spans="1:8" x14ac:dyDescent="0.25">
      <c r="A9">
        <v>8</v>
      </c>
      <c r="B9">
        <f t="shared" si="0"/>
        <v>0</v>
      </c>
      <c r="C9" t="s">
        <v>523</v>
      </c>
      <c r="D9" t="s">
        <v>524</v>
      </c>
      <c r="E9"/>
      <c r="F9" s="2" t="s">
        <v>525</v>
      </c>
      <c r="G9" t="s">
        <v>9</v>
      </c>
      <c r="H9">
        <f>COUNTIF(ValidTeams[],E9)</f>
        <v>0</v>
      </c>
    </row>
    <row r="10" spans="1:8" x14ac:dyDescent="0.25">
      <c r="A10">
        <v>9</v>
      </c>
      <c r="B10">
        <f t="shared" si="0"/>
        <v>0</v>
      </c>
      <c r="C10" t="s">
        <v>526</v>
      </c>
      <c r="D10" t="s">
        <v>383</v>
      </c>
      <c r="E10"/>
      <c r="F10" s="2" t="s">
        <v>525</v>
      </c>
      <c r="G10" t="s">
        <v>9</v>
      </c>
      <c r="H10">
        <f>COUNTIF(ValidTeams[],E10)</f>
        <v>0</v>
      </c>
    </row>
    <row r="11" spans="1:8" x14ac:dyDescent="0.25">
      <c r="A11">
        <v>10</v>
      </c>
      <c r="B11">
        <f t="shared" si="0"/>
        <v>11</v>
      </c>
      <c r="C11" t="s">
        <v>527</v>
      </c>
      <c r="D11" t="s">
        <v>310</v>
      </c>
      <c r="E11" t="s">
        <v>451</v>
      </c>
      <c r="F11" s="2" t="s">
        <v>528</v>
      </c>
      <c r="G11" t="s">
        <v>9</v>
      </c>
      <c r="H11">
        <f>COUNTIF(ValidTeams[],E11)</f>
        <v>1</v>
      </c>
    </row>
    <row r="12" spans="1:8" x14ac:dyDescent="0.25">
      <c r="A12">
        <v>11</v>
      </c>
      <c r="B12">
        <f t="shared" si="0"/>
        <v>0</v>
      </c>
      <c r="C12" t="s">
        <v>529</v>
      </c>
      <c r="D12" t="s">
        <v>360</v>
      </c>
      <c r="E12" t="s">
        <v>530</v>
      </c>
      <c r="F12" s="2" t="s">
        <v>531</v>
      </c>
      <c r="G12" t="s">
        <v>9</v>
      </c>
      <c r="H12">
        <f>COUNTIF(ValidTeams[],E12)</f>
        <v>0</v>
      </c>
    </row>
    <row r="13" spans="1:8" x14ac:dyDescent="0.25">
      <c r="A13">
        <v>12</v>
      </c>
      <c r="B13" s="23">
        <f t="shared" ref="B13:B20" si="1">IF(H13=1,MAX(21-A13,0),0)</f>
        <v>0</v>
      </c>
      <c r="C13" t="s">
        <v>532</v>
      </c>
      <c r="D13" t="s">
        <v>233</v>
      </c>
      <c r="E13" s="2" t="s">
        <v>533</v>
      </c>
      <c r="F13" s="2" t="s">
        <v>534</v>
      </c>
      <c r="G13" t="s">
        <v>9</v>
      </c>
      <c r="H13" s="23">
        <f>COUNTIF(ValidTeams[],E13)</f>
        <v>0</v>
      </c>
    </row>
    <row r="14" spans="1:8" x14ac:dyDescent="0.25">
      <c r="A14">
        <v>13</v>
      </c>
      <c r="B14" s="23">
        <f t="shared" si="1"/>
        <v>0</v>
      </c>
      <c r="C14" t="s">
        <v>535</v>
      </c>
      <c r="D14" t="s">
        <v>536</v>
      </c>
      <c r="E14" s="2" t="s">
        <v>537</v>
      </c>
      <c r="F14" s="2" t="s">
        <v>538</v>
      </c>
      <c r="G14" t="s">
        <v>9</v>
      </c>
      <c r="H14" s="23">
        <f>COUNTIF(ValidTeams[],E14)</f>
        <v>0</v>
      </c>
    </row>
    <row r="15" spans="1:8" x14ac:dyDescent="0.25">
      <c r="A15">
        <v>14</v>
      </c>
      <c r="B15" s="23">
        <f t="shared" si="1"/>
        <v>7</v>
      </c>
      <c r="C15" t="s">
        <v>26</v>
      </c>
      <c r="D15" t="s">
        <v>27</v>
      </c>
      <c r="E15" s="2" t="s">
        <v>88</v>
      </c>
      <c r="F15" s="2" t="s">
        <v>539</v>
      </c>
      <c r="G15" t="s">
        <v>9</v>
      </c>
      <c r="H15" s="23">
        <f>COUNTIF(ValidTeams[],E15)</f>
        <v>1</v>
      </c>
    </row>
    <row r="16" spans="1:8" x14ac:dyDescent="0.25">
      <c r="A16">
        <v>15</v>
      </c>
      <c r="B16" s="23">
        <f t="shared" si="1"/>
        <v>6</v>
      </c>
      <c r="C16" t="s">
        <v>28</v>
      </c>
      <c r="D16" t="s">
        <v>20</v>
      </c>
      <c r="E16" s="2" t="s">
        <v>442</v>
      </c>
      <c r="F16" s="2" t="s">
        <v>540</v>
      </c>
      <c r="G16" t="s">
        <v>9</v>
      </c>
      <c r="H16" s="23">
        <f>COUNTIF(ValidTeams[],E16)</f>
        <v>1</v>
      </c>
    </row>
    <row r="17" spans="1:8" x14ac:dyDescent="0.25">
      <c r="A17">
        <v>16</v>
      </c>
      <c r="B17" s="23">
        <f t="shared" si="1"/>
        <v>0</v>
      </c>
      <c r="C17" t="s">
        <v>541</v>
      </c>
      <c r="D17" t="s">
        <v>20</v>
      </c>
      <c r="F17" s="2" t="s">
        <v>542</v>
      </c>
      <c r="G17" t="s">
        <v>9</v>
      </c>
      <c r="H17" s="23">
        <f>COUNTIF(ValidTeams[],E17)</f>
        <v>0</v>
      </c>
    </row>
    <row r="18" spans="1:8" x14ac:dyDescent="0.25">
      <c r="A18">
        <v>17</v>
      </c>
      <c r="B18" s="23">
        <f t="shared" si="1"/>
        <v>4</v>
      </c>
      <c r="C18" t="s">
        <v>32</v>
      </c>
      <c r="D18" t="s">
        <v>33</v>
      </c>
      <c r="E18" s="2" t="s">
        <v>34</v>
      </c>
      <c r="F18" s="2" t="s">
        <v>543</v>
      </c>
      <c r="G18" t="s">
        <v>9</v>
      </c>
      <c r="H18" s="23">
        <f>COUNTIF(ValidTeams[],E18)</f>
        <v>1</v>
      </c>
    </row>
    <row r="19" spans="1:8" x14ac:dyDescent="0.25">
      <c r="A19">
        <v>18</v>
      </c>
      <c r="B19" s="23">
        <f t="shared" si="1"/>
        <v>0</v>
      </c>
      <c r="C19" t="s">
        <v>544</v>
      </c>
      <c r="D19" t="s">
        <v>545</v>
      </c>
      <c r="F19" s="2" t="s">
        <v>546</v>
      </c>
      <c r="G19" t="s">
        <v>9</v>
      </c>
      <c r="H19" s="23">
        <f>COUNTIF(ValidTeams[],E19)</f>
        <v>0</v>
      </c>
    </row>
    <row r="20" spans="1:8" x14ac:dyDescent="0.25">
      <c r="A20">
        <v>19</v>
      </c>
      <c r="B20" s="23">
        <f t="shared" si="1"/>
        <v>0</v>
      </c>
      <c r="C20" t="s">
        <v>69</v>
      </c>
      <c r="D20" t="s">
        <v>547</v>
      </c>
      <c r="F20" s="2" t="s">
        <v>548</v>
      </c>
      <c r="G20" t="s">
        <v>9</v>
      </c>
      <c r="H20" s="23">
        <f>COUNTIF(ValidTeams[],E20)</f>
        <v>0</v>
      </c>
    </row>
    <row r="21" spans="1:8" x14ac:dyDescent="0.25">
      <c r="A21" t="s">
        <v>0</v>
      </c>
      <c r="B21" t="s">
        <v>73</v>
      </c>
      <c r="C21" t="s">
        <v>1</v>
      </c>
      <c r="D21" t="s">
        <v>2</v>
      </c>
      <c r="E21" t="s">
        <v>3</v>
      </c>
      <c r="F21" s="2" t="s">
        <v>4</v>
      </c>
      <c r="G21" t="s">
        <v>5</v>
      </c>
      <c r="H21" t="s">
        <v>72</v>
      </c>
    </row>
    <row r="22" spans="1:8" x14ac:dyDescent="0.25">
      <c r="A22">
        <v>1</v>
      </c>
      <c r="B22">
        <f t="shared" ref="B22:B31" si="2">IF(H22=1,MAX(21-A22,0),0)</f>
        <v>20</v>
      </c>
      <c r="C22" t="s">
        <v>36</v>
      </c>
      <c r="D22" t="s">
        <v>37</v>
      </c>
      <c r="E22" t="s">
        <v>38</v>
      </c>
      <c r="F22" s="2" t="s">
        <v>549</v>
      </c>
      <c r="G22" t="s">
        <v>39</v>
      </c>
      <c r="H22">
        <f>COUNTIF(ValidTeams[],E22)</f>
        <v>1</v>
      </c>
    </row>
    <row r="23" spans="1:8" x14ac:dyDescent="0.25">
      <c r="A23">
        <v>2</v>
      </c>
      <c r="B23">
        <f t="shared" si="2"/>
        <v>0</v>
      </c>
      <c r="C23" t="s">
        <v>550</v>
      </c>
      <c r="D23" t="s">
        <v>551</v>
      </c>
      <c r="E23" t="s">
        <v>552</v>
      </c>
      <c r="F23" s="2" t="s">
        <v>553</v>
      </c>
      <c r="G23" t="s">
        <v>39</v>
      </c>
      <c r="H23">
        <f>COUNTIF(ValidTeams[],E23)</f>
        <v>0</v>
      </c>
    </row>
    <row r="24" spans="1:8" x14ac:dyDescent="0.25">
      <c r="A24">
        <v>3</v>
      </c>
      <c r="B24">
        <f t="shared" si="2"/>
        <v>18</v>
      </c>
      <c r="C24" t="s">
        <v>66</v>
      </c>
      <c r="D24" t="s">
        <v>67</v>
      </c>
      <c r="E24" t="s">
        <v>442</v>
      </c>
      <c r="F24" s="2" t="s">
        <v>554</v>
      </c>
      <c r="G24" t="s">
        <v>39</v>
      </c>
      <c r="H24">
        <f>COUNTIF(ValidTeams[],E24)</f>
        <v>1</v>
      </c>
    </row>
    <row r="25" spans="1:8" x14ac:dyDescent="0.25">
      <c r="A25">
        <v>4</v>
      </c>
      <c r="B25">
        <f t="shared" si="2"/>
        <v>17</v>
      </c>
      <c r="C25" t="s">
        <v>32</v>
      </c>
      <c r="D25" t="s">
        <v>48</v>
      </c>
      <c r="E25" t="s">
        <v>49</v>
      </c>
      <c r="F25" s="2" t="s">
        <v>555</v>
      </c>
      <c r="G25" t="s">
        <v>39</v>
      </c>
      <c r="H25">
        <f>COUNTIF(ValidTeams[],E25)</f>
        <v>1</v>
      </c>
    </row>
    <row r="26" spans="1:8" x14ac:dyDescent="0.25">
      <c r="A26">
        <v>5</v>
      </c>
      <c r="B26">
        <f t="shared" si="2"/>
        <v>16</v>
      </c>
      <c r="C26" t="s">
        <v>556</v>
      </c>
      <c r="D26" t="s">
        <v>557</v>
      </c>
      <c r="E26" t="s">
        <v>8</v>
      </c>
      <c r="F26" s="2" t="s">
        <v>558</v>
      </c>
      <c r="G26" t="s">
        <v>39</v>
      </c>
      <c r="H26">
        <f>COUNTIF(ValidTeams[],E26)</f>
        <v>1</v>
      </c>
    </row>
    <row r="27" spans="1:8" x14ac:dyDescent="0.25">
      <c r="A27">
        <v>6</v>
      </c>
      <c r="B27">
        <f t="shared" si="2"/>
        <v>0</v>
      </c>
      <c r="C27" t="s">
        <v>559</v>
      </c>
      <c r="D27" t="s">
        <v>560</v>
      </c>
      <c r="E27" t="s">
        <v>561</v>
      </c>
      <c r="F27" s="2" t="s">
        <v>562</v>
      </c>
      <c r="G27" t="s">
        <v>39</v>
      </c>
      <c r="H27">
        <f>COUNTIF(ValidTeams[],E27)</f>
        <v>0</v>
      </c>
    </row>
    <row r="28" spans="1:8" x14ac:dyDescent="0.25">
      <c r="A28">
        <v>7</v>
      </c>
      <c r="B28">
        <f t="shared" si="2"/>
        <v>14</v>
      </c>
      <c r="C28" t="s">
        <v>563</v>
      </c>
      <c r="D28" t="s">
        <v>330</v>
      </c>
      <c r="E28" t="s">
        <v>8</v>
      </c>
      <c r="F28" t="s">
        <v>564</v>
      </c>
      <c r="G28" t="s">
        <v>39</v>
      </c>
      <c r="H28">
        <f>COUNTIF(ValidTeams[],E28)</f>
        <v>1</v>
      </c>
    </row>
    <row r="29" spans="1:8" x14ac:dyDescent="0.25">
      <c r="A29">
        <v>8</v>
      </c>
      <c r="B29">
        <f t="shared" si="2"/>
        <v>0</v>
      </c>
      <c r="E29"/>
      <c r="G29" t="s">
        <v>39</v>
      </c>
      <c r="H29">
        <f>COUNTIF(ValidTeams[],E29)</f>
        <v>0</v>
      </c>
    </row>
    <row r="30" spans="1:8" x14ac:dyDescent="0.25">
      <c r="A30">
        <v>9</v>
      </c>
      <c r="B30">
        <f t="shared" si="2"/>
        <v>0</v>
      </c>
      <c r="E30"/>
      <c r="G30" t="s">
        <v>39</v>
      </c>
      <c r="H30">
        <f>COUNTIF(ValidTeams[],E30)</f>
        <v>0</v>
      </c>
    </row>
    <row r="31" spans="1:8" x14ac:dyDescent="0.25">
      <c r="A31">
        <v>10</v>
      </c>
      <c r="B31">
        <f t="shared" si="2"/>
        <v>0</v>
      </c>
      <c r="E31"/>
      <c r="G31" t="s">
        <v>39</v>
      </c>
      <c r="H31">
        <f>COUNTIF(ValidTeams[],E31)</f>
        <v>0</v>
      </c>
    </row>
    <row r="33" spans="1:7" x14ac:dyDescent="0.25">
      <c r="A33" t="s">
        <v>0</v>
      </c>
      <c r="B33" t="s">
        <v>73</v>
      </c>
      <c r="C33" t="s">
        <v>1</v>
      </c>
      <c r="D33" t="s">
        <v>2</v>
      </c>
      <c r="E33" s="2" t="s">
        <v>3</v>
      </c>
      <c r="F33" t="s">
        <v>4</v>
      </c>
      <c r="G33" t="s">
        <v>5</v>
      </c>
    </row>
    <row r="34" spans="1:7" x14ac:dyDescent="0.25">
      <c r="A34">
        <v>1</v>
      </c>
      <c r="B34">
        <v>20</v>
      </c>
      <c r="C34" t="s">
        <v>89</v>
      </c>
      <c r="D34" t="s">
        <v>90</v>
      </c>
      <c r="E34" s="2" t="s">
        <v>91</v>
      </c>
      <c r="F34" s="2" t="s">
        <v>565</v>
      </c>
      <c r="G34" t="s">
        <v>86</v>
      </c>
    </row>
    <row r="35" spans="1:7" x14ac:dyDescent="0.25">
      <c r="A35">
        <v>2</v>
      </c>
      <c r="B35">
        <v>0</v>
      </c>
      <c r="F35" s="2"/>
      <c r="G35" t="s">
        <v>86</v>
      </c>
    </row>
    <row r="36" spans="1:7" x14ac:dyDescent="0.25">
      <c r="A36">
        <v>3</v>
      </c>
      <c r="B36">
        <v>0</v>
      </c>
      <c r="F36" s="2"/>
      <c r="G36" t="s">
        <v>86</v>
      </c>
    </row>
    <row r="37" spans="1:7" x14ac:dyDescent="0.25">
      <c r="A37">
        <v>4</v>
      </c>
      <c r="B37">
        <v>0</v>
      </c>
      <c r="F37" s="2"/>
      <c r="G37" t="s">
        <v>86</v>
      </c>
    </row>
    <row r="38" spans="1:7" x14ac:dyDescent="0.25">
      <c r="A38">
        <v>5</v>
      </c>
      <c r="B38">
        <v>0</v>
      </c>
      <c r="F38" s="2"/>
      <c r="G38" t="s">
        <v>86</v>
      </c>
    </row>
    <row r="39" spans="1:7" x14ac:dyDescent="0.25">
      <c r="A39">
        <v>6</v>
      </c>
      <c r="B39">
        <v>0</v>
      </c>
      <c r="F39" s="2"/>
      <c r="G39" t="s">
        <v>86</v>
      </c>
    </row>
    <row r="40" spans="1:7" x14ac:dyDescent="0.25">
      <c r="F40" s="2"/>
    </row>
    <row r="41" spans="1:7" x14ac:dyDescent="0.25">
      <c r="A41" s="4" t="s">
        <v>0</v>
      </c>
      <c r="B41" s="4" t="s">
        <v>73</v>
      </c>
      <c r="C41" s="4" t="s">
        <v>1</v>
      </c>
      <c r="D41" s="4" t="s">
        <v>2</v>
      </c>
      <c r="E41" s="5" t="s">
        <v>3</v>
      </c>
      <c r="F41" s="5" t="s">
        <v>4</v>
      </c>
      <c r="G41" s="4" t="s">
        <v>5</v>
      </c>
    </row>
    <row r="42" spans="1:7" x14ac:dyDescent="0.25">
      <c r="A42" s="1">
        <v>1</v>
      </c>
      <c r="B42" s="1">
        <v>20</v>
      </c>
      <c r="C42" s="1" t="s">
        <v>104</v>
      </c>
      <c r="D42" s="1" t="s">
        <v>105</v>
      </c>
      <c r="E42" s="3" t="s">
        <v>100</v>
      </c>
      <c r="F42" s="3" t="s">
        <v>566</v>
      </c>
      <c r="G42" s="1" t="s">
        <v>101</v>
      </c>
    </row>
    <row r="43" spans="1:7" x14ac:dyDescent="0.25">
      <c r="A43" s="1">
        <v>2</v>
      </c>
      <c r="B43" s="1"/>
      <c r="C43" s="1"/>
      <c r="D43" s="1"/>
      <c r="E43" s="3"/>
      <c r="F43" s="3"/>
      <c r="G43" s="1" t="s">
        <v>101</v>
      </c>
    </row>
    <row r="44" spans="1:7" x14ac:dyDescent="0.25">
      <c r="A44" s="1">
        <v>3</v>
      </c>
      <c r="B44" s="1"/>
      <c r="C44" s="1"/>
      <c r="D44" s="1"/>
      <c r="E44" s="3"/>
      <c r="F44" s="3"/>
      <c r="G44" s="1" t="s">
        <v>101</v>
      </c>
    </row>
    <row r="45" spans="1:7" x14ac:dyDescent="0.25">
      <c r="F45" s="2"/>
    </row>
    <row r="46" spans="1:7" x14ac:dyDescent="0.25">
      <c r="A46" s="4" t="s">
        <v>0</v>
      </c>
      <c r="B46" s="4" t="s">
        <v>73</v>
      </c>
      <c r="C46" s="4" t="s">
        <v>1</v>
      </c>
      <c r="D46" s="4" t="s">
        <v>2</v>
      </c>
      <c r="E46" s="5" t="s">
        <v>3</v>
      </c>
      <c r="F46" s="5" t="s">
        <v>4</v>
      </c>
      <c r="G46" s="4" t="s">
        <v>5</v>
      </c>
    </row>
    <row r="47" spans="1:7" x14ac:dyDescent="0.25">
      <c r="A47" s="1">
        <v>1</v>
      </c>
      <c r="B47" s="1">
        <v>20</v>
      </c>
      <c r="C47" s="1" t="s">
        <v>106</v>
      </c>
      <c r="D47" s="1" t="s">
        <v>107</v>
      </c>
      <c r="E47" s="3" t="s">
        <v>108</v>
      </c>
      <c r="F47" s="3" t="s">
        <v>567</v>
      </c>
      <c r="G47" s="1" t="s">
        <v>109</v>
      </c>
    </row>
    <row r="48" spans="1:7" x14ac:dyDescent="0.25">
      <c r="A48" s="1">
        <v>2</v>
      </c>
      <c r="B48" s="1"/>
      <c r="C48" s="1"/>
      <c r="D48" s="1"/>
      <c r="E48" s="3"/>
      <c r="F48" s="3"/>
      <c r="G48" s="1" t="s">
        <v>109</v>
      </c>
    </row>
    <row r="49" spans="1:8" x14ac:dyDescent="0.25">
      <c r="F49" s="2"/>
    </row>
    <row r="50" spans="1:8" x14ac:dyDescent="0.25">
      <c r="A50" s="4" t="s">
        <v>0</v>
      </c>
      <c r="B50" s="4" t="s">
        <v>73</v>
      </c>
      <c r="C50" s="4" t="s">
        <v>1</v>
      </c>
      <c r="D50" s="4" t="s">
        <v>2</v>
      </c>
      <c r="E50" s="5" t="s">
        <v>3</v>
      </c>
      <c r="F50" s="5" t="s">
        <v>4</v>
      </c>
      <c r="G50" s="4" t="s">
        <v>5</v>
      </c>
    </row>
    <row r="51" spans="1:8" x14ac:dyDescent="0.25">
      <c r="A51" s="1">
        <v>1</v>
      </c>
      <c r="B51" s="1">
        <v>20</v>
      </c>
      <c r="C51" s="1" t="s">
        <v>532</v>
      </c>
      <c r="D51" s="1" t="s">
        <v>233</v>
      </c>
      <c r="E51" s="3" t="s">
        <v>568</v>
      </c>
      <c r="F51" s="3" t="s">
        <v>569</v>
      </c>
      <c r="G51" s="1" t="s">
        <v>112</v>
      </c>
    </row>
    <row r="52" spans="1:8" x14ac:dyDescent="0.25">
      <c r="A52" s="1">
        <v>2</v>
      </c>
      <c r="B52" s="1">
        <v>19</v>
      </c>
      <c r="C52" s="1" t="s">
        <v>104</v>
      </c>
      <c r="D52" s="1" t="s">
        <v>111</v>
      </c>
      <c r="E52" s="3" t="s">
        <v>100</v>
      </c>
      <c r="F52" s="3" t="s">
        <v>570</v>
      </c>
      <c r="G52" s="1" t="s">
        <v>112</v>
      </c>
    </row>
    <row r="53" spans="1:8" x14ac:dyDescent="0.25">
      <c r="A53" s="1">
        <v>3</v>
      </c>
      <c r="B53" s="1">
        <v>18</v>
      </c>
      <c r="C53" s="1" t="s">
        <v>113</v>
      </c>
      <c r="D53" s="1" t="s">
        <v>114</v>
      </c>
      <c r="E53" s="3"/>
      <c r="F53" s="3" t="s">
        <v>571</v>
      </c>
      <c r="G53" s="1" t="s">
        <v>112</v>
      </c>
    </row>
    <row r="54" spans="1:8" x14ac:dyDescent="0.25">
      <c r="F54" s="2"/>
    </row>
    <row r="55" spans="1:8" x14ac:dyDescent="0.25">
      <c r="A55" s="4" t="s">
        <v>0</v>
      </c>
      <c r="B55" s="4" t="s">
        <v>73</v>
      </c>
      <c r="C55" s="4" t="s">
        <v>1</v>
      </c>
      <c r="D55" s="4" t="s">
        <v>2</v>
      </c>
      <c r="E55" s="5" t="s">
        <v>3</v>
      </c>
      <c r="F55" s="5" t="s">
        <v>4</v>
      </c>
      <c r="G55" s="4" t="s">
        <v>5</v>
      </c>
    </row>
    <row r="56" spans="1:8" x14ac:dyDescent="0.25">
      <c r="A56" s="1">
        <v>1</v>
      </c>
      <c r="B56" s="1">
        <v>20</v>
      </c>
      <c r="C56" s="1" t="s">
        <v>117</v>
      </c>
      <c r="D56" s="1" t="s">
        <v>118</v>
      </c>
      <c r="E56" s="3" t="s">
        <v>140</v>
      </c>
      <c r="F56" s="3" t="s">
        <v>572</v>
      </c>
      <c r="G56" s="1" t="s">
        <v>119</v>
      </c>
    </row>
    <row r="57" spans="1:8" x14ac:dyDescent="0.25">
      <c r="A57" s="1">
        <v>2</v>
      </c>
      <c r="B57" s="1">
        <v>19</v>
      </c>
      <c r="C57" s="1" t="s">
        <v>573</v>
      </c>
      <c r="D57" s="1" t="s">
        <v>574</v>
      </c>
      <c r="E57" s="3"/>
      <c r="F57" s="3" t="s">
        <v>575</v>
      </c>
      <c r="G57" s="1" t="s">
        <v>119</v>
      </c>
    </row>
    <row r="58" spans="1:8" x14ac:dyDescent="0.25">
      <c r="A58" s="6"/>
      <c r="B58" s="6"/>
      <c r="C58" s="6"/>
      <c r="D58" s="6"/>
      <c r="E58" s="21"/>
      <c r="F58" s="21"/>
      <c r="G58" s="6"/>
    </row>
    <row r="59" spans="1:8" x14ac:dyDescent="0.25">
      <c r="A59" s="4" t="s">
        <v>0</v>
      </c>
      <c r="B59" s="4" t="s">
        <v>73</v>
      </c>
      <c r="C59" s="4" t="s">
        <v>1</v>
      </c>
      <c r="D59" s="4" t="s">
        <v>2</v>
      </c>
      <c r="E59" s="5" t="s">
        <v>3</v>
      </c>
      <c r="F59" s="5" t="s">
        <v>4</v>
      </c>
      <c r="G59" s="4" t="s">
        <v>5</v>
      </c>
    </row>
    <row r="60" spans="1:8" x14ac:dyDescent="0.25">
      <c r="A60" s="1">
        <v>1</v>
      </c>
      <c r="B60" s="1">
        <v>20</v>
      </c>
      <c r="C60" s="1" t="s">
        <v>89</v>
      </c>
      <c r="D60" s="1" t="s">
        <v>120</v>
      </c>
      <c r="E60" s="3" t="s">
        <v>91</v>
      </c>
      <c r="F60" s="3" t="s">
        <v>576</v>
      </c>
      <c r="G60" s="1" t="s">
        <v>121</v>
      </c>
    </row>
    <row r="61" spans="1:8" x14ac:dyDescent="0.25">
      <c r="F61" s="2"/>
    </row>
    <row r="62" spans="1:8" x14ac:dyDescent="0.25">
      <c r="A62" s="4" t="s">
        <v>0</v>
      </c>
      <c r="B62" s="4" t="s">
        <v>73</v>
      </c>
      <c r="C62" s="4" t="s">
        <v>1</v>
      </c>
      <c r="D62" s="4" t="s">
        <v>2</v>
      </c>
      <c r="E62" s="5" t="s">
        <v>3</v>
      </c>
      <c r="F62" s="5" t="s">
        <v>4</v>
      </c>
      <c r="G62" s="4" t="s">
        <v>5</v>
      </c>
      <c r="H62" s="4" t="s">
        <v>72</v>
      </c>
    </row>
    <row r="63" spans="1:8" x14ac:dyDescent="0.25">
      <c r="A63" s="1">
        <v>1</v>
      </c>
      <c r="B63">
        <f t="shared" ref="B63:B67" si="3">IF(H63=1,MAX(21-A63,0),0)</f>
        <v>20</v>
      </c>
      <c r="C63" s="1" t="s">
        <v>577</v>
      </c>
      <c r="D63" s="1" t="s">
        <v>123</v>
      </c>
      <c r="E63" s="3" t="s">
        <v>451</v>
      </c>
      <c r="F63" s="3" t="s">
        <v>578</v>
      </c>
      <c r="G63" s="1" t="s">
        <v>124</v>
      </c>
      <c r="H63" s="6">
        <f>COUNTIF(ValidTeams[],E63)</f>
        <v>1</v>
      </c>
    </row>
    <row r="64" spans="1:8" x14ac:dyDescent="0.25">
      <c r="A64" s="1">
        <v>2</v>
      </c>
      <c r="B64">
        <f t="shared" si="3"/>
        <v>19</v>
      </c>
      <c r="C64" s="1" t="s">
        <v>122</v>
      </c>
      <c r="D64" s="1" t="s">
        <v>123</v>
      </c>
      <c r="E64" s="3" t="s">
        <v>12</v>
      </c>
      <c r="F64" s="3" t="s">
        <v>579</v>
      </c>
      <c r="G64" s="1" t="s">
        <v>124</v>
      </c>
      <c r="H64" s="6">
        <f>COUNTIF(ValidTeams[],E64)</f>
        <v>1</v>
      </c>
    </row>
    <row r="65" spans="1:8" x14ac:dyDescent="0.25">
      <c r="A65">
        <v>3</v>
      </c>
      <c r="B65">
        <f t="shared" si="3"/>
        <v>0</v>
      </c>
      <c r="C65" t="s">
        <v>580</v>
      </c>
      <c r="D65" t="s">
        <v>17</v>
      </c>
      <c r="E65" t="s">
        <v>581</v>
      </c>
      <c r="F65" t="s">
        <v>582</v>
      </c>
      <c r="G65" t="s">
        <v>124</v>
      </c>
      <c r="H65">
        <f>COUNTIF(ValidTeams[],E65)</f>
        <v>0</v>
      </c>
    </row>
    <row r="66" spans="1:8" x14ac:dyDescent="0.25">
      <c r="A66">
        <v>4</v>
      </c>
      <c r="B66">
        <f t="shared" si="3"/>
        <v>0</v>
      </c>
      <c r="E66"/>
      <c r="G66" t="s">
        <v>124</v>
      </c>
      <c r="H66">
        <f>COUNTIF(ValidTeams[],E66)</f>
        <v>0</v>
      </c>
    </row>
    <row r="67" spans="1:8" x14ac:dyDescent="0.25">
      <c r="A67">
        <v>5</v>
      </c>
      <c r="B67">
        <f t="shared" si="3"/>
        <v>0</v>
      </c>
      <c r="E67"/>
      <c r="G67" t="s">
        <v>124</v>
      </c>
      <c r="H67">
        <f>COUNTIF(ValidTeams[],E67)</f>
        <v>0</v>
      </c>
    </row>
    <row r="68" spans="1:8" x14ac:dyDescent="0.25">
      <c r="F68" s="2"/>
    </row>
    <row r="69" spans="1:8" x14ac:dyDescent="0.25">
      <c r="A69" s="4" t="s">
        <v>0</v>
      </c>
      <c r="B69" s="4" t="s">
        <v>73</v>
      </c>
      <c r="C69" s="4" t="s">
        <v>1</v>
      </c>
      <c r="D69" s="4" t="s">
        <v>2</v>
      </c>
      <c r="E69" s="5" t="s">
        <v>3</v>
      </c>
      <c r="F69" s="5" t="s">
        <v>4</v>
      </c>
      <c r="G69" s="4" t="s">
        <v>5</v>
      </c>
      <c r="H69" s="4" t="s">
        <v>72</v>
      </c>
    </row>
    <row r="70" spans="1:8" x14ac:dyDescent="0.25">
      <c r="A70" s="1">
        <v>1</v>
      </c>
      <c r="B70">
        <f t="shared" ref="B70:B75" si="4">IF(H70=1,MAX(21-A70,0),0)</f>
        <v>20</v>
      </c>
      <c r="C70" s="1" t="s">
        <v>134</v>
      </c>
      <c r="D70" s="1" t="s">
        <v>7</v>
      </c>
      <c r="E70" s="3" t="s">
        <v>34</v>
      </c>
      <c r="F70" s="3" t="s">
        <v>583</v>
      </c>
      <c r="G70" s="1" t="s">
        <v>135</v>
      </c>
      <c r="H70" s="6">
        <f>COUNTIF(ValidTeams[],E70)</f>
        <v>1</v>
      </c>
    </row>
    <row r="71" spans="1:8" x14ac:dyDescent="0.25">
      <c r="A71" s="1">
        <v>2</v>
      </c>
      <c r="B71">
        <f t="shared" si="4"/>
        <v>0</v>
      </c>
      <c r="C71" s="1" t="s">
        <v>584</v>
      </c>
      <c r="D71" s="1" t="s">
        <v>585</v>
      </c>
      <c r="E71" s="3" t="s">
        <v>581</v>
      </c>
      <c r="F71" s="3" t="s">
        <v>586</v>
      </c>
      <c r="G71" s="1" t="s">
        <v>135</v>
      </c>
      <c r="H71" s="6">
        <f>COUNTIF(ValidTeams[],E71)</f>
        <v>0</v>
      </c>
    </row>
    <row r="72" spans="1:8" x14ac:dyDescent="0.25">
      <c r="A72" s="1">
        <v>3</v>
      </c>
      <c r="B72">
        <f t="shared" si="4"/>
        <v>18</v>
      </c>
      <c r="C72" s="1" t="s">
        <v>117</v>
      </c>
      <c r="D72" s="1" t="s">
        <v>139</v>
      </c>
      <c r="E72" s="3" t="s">
        <v>140</v>
      </c>
      <c r="F72" s="3" t="s">
        <v>587</v>
      </c>
      <c r="G72" s="1" t="s">
        <v>135</v>
      </c>
      <c r="H72" s="6">
        <f>COUNTIF(ValidTeams[],E72)</f>
        <v>1</v>
      </c>
    </row>
    <row r="73" spans="1:8" x14ac:dyDescent="0.25">
      <c r="A73" s="1">
        <v>4</v>
      </c>
      <c r="B73">
        <f t="shared" si="4"/>
        <v>0</v>
      </c>
      <c r="C73" s="1" t="s">
        <v>165</v>
      </c>
      <c r="D73" s="1" t="s">
        <v>166</v>
      </c>
      <c r="E73" s="3" t="s">
        <v>167</v>
      </c>
      <c r="F73" s="3" t="s">
        <v>588</v>
      </c>
      <c r="G73" s="1" t="s">
        <v>135</v>
      </c>
      <c r="H73" s="6">
        <f>COUNTIF(ValidTeams[],E73)</f>
        <v>0</v>
      </c>
    </row>
    <row r="74" spans="1:8" x14ac:dyDescent="0.25">
      <c r="A74">
        <v>5</v>
      </c>
      <c r="B74">
        <f t="shared" si="4"/>
        <v>0</v>
      </c>
      <c r="E74"/>
      <c r="G74" t="s">
        <v>135</v>
      </c>
      <c r="H74">
        <f>COUNTIF(ValidTeams[],E74)</f>
        <v>0</v>
      </c>
    </row>
    <row r="75" spans="1:8" x14ac:dyDescent="0.25">
      <c r="A75">
        <v>6</v>
      </c>
      <c r="B75">
        <f t="shared" si="4"/>
        <v>0</v>
      </c>
      <c r="E75"/>
      <c r="G75" t="s">
        <v>135</v>
      </c>
      <c r="H75">
        <f>COUNTIF(ValidTeams[],E75)</f>
        <v>0</v>
      </c>
    </row>
    <row r="76" spans="1:8" x14ac:dyDescent="0.25">
      <c r="F76" s="2"/>
    </row>
    <row r="77" spans="1:8" x14ac:dyDescent="0.25">
      <c r="A77" s="4" t="s">
        <v>0</v>
      </c>
      <c r="B77" s="4" t="s">
        <v>73</v>
      </c>
      <c r="C77" s="4" t="s">
        <v>1</v>
      </c>
      <c r="D77" s="4" t="s">
        <v>2</v>
      </c>
      <c r="E77" s="5" t="s">
        <v>3</v>
      </c>
      <c r="F77" s="5" t="s">
        <v>4</v>
      </c>
      <c r="G77" s="4" t="s">
        <v>5</v>
      </c>
      <c r="H77" s="4" t="s">
        <v>72</v>
      </c>
    </row>
    <row r="78" spans="1:8" x14ac:dyDescent="0.25">
      <c r="A78" s="1">
        <v>1</v>
      </c>
      <c r="B78">
        <f t="shared" ref="B78:B90" si="5">IF(H78=1,MAX(21-A78,0),0)</f>
        <v>20</v>
      </c>
      <c r="C78" s="1" t="s">
        <v>186</v>
      </c>
      <c r="D78" s="1" t="s">
        <v>187</v>
      </c>
      <c r="E78" s="3" t="s">
        <v>8</v>
      </c>
      <c r="F78" s="3" t="s">
        <v>589</v>
      </c>
      <c r="G78" s="1" t="s">
        <v>178</v>
      </c>
      <c r="H78" s="6">
        <f>COUNTIF(ValidTeams[],E78)</f>
        <v>1</v>
      </c>
    </row>
    <row r="79" spans="1:8" x14ac:dyDescent="0.25">
      <c r="A79" s="1">
        <v>2</v>
      </c>
      <c r="B79">
        <f t="shared" si="5"/>
        <v>19</v>
      </c>
      <c r="C79" s="1" t="s">
        <v>179</v>
      </c>
      <c r="D79" s="1" t="s">
        <v>24</v>
      </c>
      <c r="E79" s="3" t="s">
        <v>100</v>
      </c>
      <c r="F79" s="3" t="s">
        <v>590</v>
      </c>
      <c r="G79" s="1" t="s">
        <v>178</v>
      </c>
      <c r="H79" s="6">
        <f>COUNTIF(ValidTeams[],E79)</f>
        <v>1</v>
      </c>
    </row>
    <row r="80" spans="1:8" x14ac:dyDescent="0.25">
      <c r="A80" s="1">
        <v>3</v>
      </c>
      <c r="B80">
        <f t="shared" si="5"/>
        <v>18</v>
      </c>
      <c r="C80" s="1" t="s">
        <v>66</v>
      </c>
      <c r="D80" s="1" t="s">
        <v>176</v>
      </c>
      <c r="E80" s="3" t="s">
        <v>442</v>
      </c>
      <c r="F80" s="3" t="s">
        <v>591</v>
      </c>
      <c r="G80" s="1" t="s">
        <v>178</v>
      </c>
      <c r="H80" s="6">
        <f>COUNTIF(ValidTeams[],E80)</f>
        <v>1</v>
      </c>
    </row>
    <row r="81" spans="1:8" x14ac:dyDescent="0.25">
      <c r="A81" s="1">
        <v>4</v>
      </c>
      <c r="B81">
        <f t="shared" si="5"/>
        <v>17</v>
      </c>
      <c r="C81" s="1" t="s">
        <v>181</v>
      </c>
      <c r="D81" s="1" t="s">
        <v>212</v>
      </c>
      <c r="E81" s="3" t="s">
        <v>34</v>
      </c>
      <c r="F81" s="3" t="s">
        <v>592</v>
      </c>
      <c r="G81" s="1" t="s">
        <v>178</v>
      </c>
      <c r="H81" s="6">
        <f>COUNTIF(ValidTeams[],E81)</f>
        <v>1</v>
      </c>
    </row>
    <row r="82" spans="1:8" x14ac:dyDescent="0.25">
      <c r="A82" s="1">
        <v>5</v>
      </c>
      <c r="B82">
        <f t="shared" si="5"/>
        <v>16</v>
      </c>
      <c r="C82" s="1" t="s">
        <v>183</v>
      </c>
      <c r="D82" s="1" t="s">
        <v>184</v>
      </c>
      <c r="E82" s="3" t="s">
        <v>100</v>
      </c>
      <c r="F82" s="3" t="s">
        <v>593</v>
      </c>
      <c r="G82" s="1" t="s">
        <v>178</v>
      </c>
      <c r="H82" s="6">
        <f>COUNTIF(ValidTeams[],E82)</f>
        <v>1</v>
      </c>
    </row>
    <row r="83" spans="1:8" x14ac:dyDescent="0.25">
      <c r="A83" s="1">
        <v>6</v>
      </c>
      <c r="B83">
        <f t="shared" si="5"/>
        <v>15</v>
      </c>
      <c r="C83" s="1" t="s">
        <v>594</v>
      </c>
      <c r="D83" s="1" t="s">
        <v>595</v>
      </c>
      <c r="E83" s="3" t="s">
        <v>18</v>
      </c>
      <c r="F83" s="3" t="s">
        <v>525</v>
      </c>
      <c r="G83" s="1" t="s">
        <v>178</v>
      </c>
      <c r="H83" s="6">
        <f>COUNTIF(ValidTeams[],E83)</f>
        <v>1</v>
      </c>
    </row>
    <row r="84" spans="1:8" x14ac:dyDescent="0.25">
      <c r="A84" s="1">
        <v>7</v>
      </c>
      <c r="B84">
        <f t="shared" si="5"/>
        <v>14</v>
      </c>
      <c r="C84" s="1" t="s">
        <v>193</v>
      </c>
      <c r="D84" s="1" t="s">
        <v>194</v>
      </c>
      <c r="E84" s="3" t="s">
        <v>442</v>
      </c>
      <c r="F84" s="3" t="s">
        <v>596</v>
      </c>
      <c r="G84" s="1" t="s">
        <v>178</v>
      </c>
      <c r="H84" s="6">
        <f>COUNTIF(ValidTeams[],E84)</f>
        <v>1</v>
      </c>
    </row>
    <row r="85" spans="1:8" x14ac:dyDescent="0.25">
      <c r="A85" s="1">
        <v>8</v>
      </c>
      <c r="B85">
        <f t="shared" si="5"/>
        <v>13</v>
      </c>
      <c r="C85" s="1" t="s">
        <v>196</v>
      </c>
      <c r="D85" s="1" t="s">
        <v>128</v>
      </c>
      <c r="E85" s="3" t="s">
        <v>38</v>
      </c>
      <c r="F85" s="3" t="s">
        <v>597</v>
      </c>
      <c r="G85" s="1" t="s">
        <v>178</v>
      </c>
      <c r="H85" s="6">
        <f>COUNTIF(ValidTeams[],E85)</f>
        <v>1</v>
      </c>
    </row>
    <row r="86" spans="1:8" x14ac:dyDescent="0.25">
      <c r="A86" s="1">
        <v>9</v>
      </c>
      <c r="B86">
        <f t="shared" si="5"/>
        <v>12</v>
      </c>
      <c r="C86" s="1" t="s">
        <v>598</v>
      </c>
      <c r="D86" s="1" t="s">
        <v>599</v>
      </c>
      <c r="E86" s="3" t="s">
        <v>345</v>
      </c>
      <c r="F86" s="3" t="s">
        <v>600</v>
      </c>
      <c r="G86" s="1" t="s">
        <v>178</v>
      </c>
      <c r="H86" s="6">
        <f>COUNTIF(ValidTeams[],E86)</f>
        <v>1</v>
      </c>
    </row>
    <row r="87" spans="1:8" x14ac:dyDescent="0.25">
      <c r="A87" s="1">
        <v>10</v>
      </c>
      <c r="B87">
        <f t="shared" si="5"/>
        <v>11</v>
      </c>
      <c r="C87" s="1" t="s">
        <v>550</v>
      </c>
      <c r="D87" s="1" t="s">
        <v>601</v>
      </c>
      <c r="E87" s="3" t="s">
        <v>691</v>
      </c>
      <c r="F87" s="3" t="s">
        <v>602</v>
      </c>
      <c r="G87" s="1" t="s">
        <v>178</v>
      </c>
      <c r="H87" s="6">
        <f>COUNTIF(ValidTeams[],E87)</f>
        <v>1</v>
      </c>
    </row>
    <row r="88" spans="1:8" x14ac:dyDescent="0.25">
      <c r="A88" s="1">
        <v>11</v>
      </c>
      <c r="B88">
        <f t="shared" si="5"/>
        <v>10</v>
      </c>
      <c r="C88" s="1" t="s">
        <v>603</v>
      </c>
      <c r="D88" s="1" t="s">
        <v>176</v>
      </c>
      <c r="E88" s="3" t="s">
        <v>12</v>
      </c>
      <c r="F88" s="3" t="s">
        <v>604</v>
      </c>
      <c r="G88" s="1" t="s">
        <v>178</v>
      </c>
      <c r="H88" s="6">
        <f>COUNTIF(ValidTeams[],E88)</f>
        <v>1</v>
      </c>
    </row>
    <row r="89" spans="1:8" x14ac:dyDescent="0.25">
      <c r="A89" s="1">
        <v>12</v>
      </c>
      <c r="B89">
        <f t="shared" si="5"/>
        <v>9</v>
      </c>
      <c r="C89" s="1" t="s">
        <v>89</v>
      </c>
      <c r="D89" s="1" t="s">
        <v>212</v>
      </c>
      <c r="E89" s="3" t="s">
        <v>91</v>
      </c>
      <c r="F89" s="3" t="s">
        <v>605</v>
      </c>
      <c r="G89" s="1" t="s">
        <v>178</v>
      </c>
      <c r="H89" s="6">
        <f>COUNTIF(ValidTeams[],E89)</f>
        <v>1</v>
      </c>
    </row>
    <row r="90" spans="1:8" x14ac:dyDescent="0.25">
      <c r="A90" s="1">
        <v>13</v>
      </c>
      <c r="B90">
        <f t="shared" si="5"/>
        <v>0</v>
      </c>
      <c r="C90" s="1"/>
      <c r="D90" s="1"/>
      <c r="E90" s="3"/>
      <c r="F90" s="3"/>
      <c r="G90" s="1" t="s">
        <v>178</v>
      </c>
      <c r="H90" s="6">
        <f>COUNTIF(ValidTeams[],E90)</f>
        <v>0</v>
      </c>
    </row>
    <row r="91" spans="1:8" x14ac:dyDescent="0.25">
      <c r="F91" s="2"/>
    </row>
    <row r="92" spans="1:8" x14ac:dyDescent="0.25">
      <c r="A92" s="4" t="s">
        <v>0</v>
      </c>
      <c r="B92" s="4" t="s">
        <v>73</v>
      </c>
      <c r="C92" s="4" t="s">
        <v>1</v>
      </c>
      <c r="D92" s="4" t="s">
        <v>2</v>
      </c>
      <c r="E92" s="5" t="s">
        <v>3</v>
      </c>
      <c r="F92" s="5" t="s">
        <v>4</v>
      </c>
      <c r="G92" s="4" t="s">
        <v>5</v>
      </c>
      <c r="H92" s="4" t="s">
        <v>72</v>
      </c>
    </row>
    <row r="93" spans="1:8" x14ac:dyDescent="0.25">
      <c r="A93" s="1">
        <v>1</v>
      </c>
      <c r="B93">
        <f t="shared" ref="B93:B101" si="6">IF(H93=1,MAX(21-A93,0),0)</f>
        <v>20</v>
      </c>
      <c r="C93" s="1" t="s">
        <v>214</v>
      </c>
      <c r="D93" s="1" t="s">
        <v>215</v>
      </c>
      <c r="E93" s="3" t="s">
        <v>18</v>
      </c>
      <c r="F93" s="3" t="s">
        <v>606</v>
      </c>
      <c r="G93" s="1" t="s">
        <v>217</v>
      </c>
      <c r="H93" s="6">
        <f>COUNTIF(ValidTeams[],E93)</f>
        <v>1</v>
      </c>
    </row>
    <row r="94" spans="1:8" x14ac:dyDescent="0.25">
      <c r="A94" s="1">
        <v>2</v>
      </c>
      <c r="B94">
        <f t="shared" si="6"/>
        <v>19</v>
      </c>
      <c r="C94" s="1" t="s">
        <v>220</v>
      </c>
      <c r="D94" s="1" t="s">
        <v>221</v>
      </c>
      <c r="E94" s="3" t="s">
        <v>222</v>
      </c>
      <c r="F94" s="3" t="s">
        <v>607</v>
      </c>
      <c r="G94" s="1" t="s">
        <v>217</v>
      </c>
      <c r="H94" s="6">
        <f>COUNTIF(ValidTeams[],E94)</f>
        <v>1</v>
      </c>
    </row>
    <row r="95" spans="1:8" x14ac:dyDescent="0.25">
      <c r="A95" s="1">
        <v>3</v>
      </c>
      <c r="B95">
        <f t="shared" si="6"/>
        <v>18</v>
      </c>
      <c r="C95" s="1" t="s">
        <v>218</v>
      </c>
      <c r="D95" s="1" t="s">
        <v>114</v>
      </c>
      <c r="E95" s="3" t="s">
        <v>18</v>
      </c>
      <c r="F95" s="3" t="s">
        <v>608</v>
      </c>
      <c r="G95" s="1" t="s">
        <v>217</v>
      </c>
      <c r="H95" s="6">
        <f>COUNTIF(ValidTeams[],E95)</f>
        <v>1</v>
      </c>
    </row>
    <row r="96" spans="1:8" x14ac:dyDescent="0.25">
      <c r="A96" s="1">
        <v>4</v>
      </c>
      <c r="B96">
        <f t="shared" si="6"/>
        <v>17</v>
      </c>
      <c r="C96" s="1" t="s">
        <v>609</v>
      </c>
      <c r="D96" s="1" t="s">
        <v>194</v>
      </c>
      <c r="E96" s="3" t="s">
        <v>8</v>
      </c>
      <c r="F96" s="3" t="s">
        <v>582</v>
      </c>
      <c r="G96" s="1" t="s">
        <v>217</v>
      </c>
      <c r="H96" s="6">
        <f>COUNTIF(ValidTeams[],E96)</f>
        <v>1</v>
      </c>
    </row>
    <row r="97" spans="1:8" x14ac:dyDescent="0.25">
      <c r="A97" s="1">
        <v>5</v>
      </c>
      <c r="B97">
        <f t="shared" si="6"/>
        <v>16</v>
      </c>
      <c r="C97" s="1" t="s">
        <v>224</v>
      </c>
      <c r="D97" s="1" t="s">
        <v>225</v>
      </c>
      <c r="E97" s="3" t="s">
        <v>226</v>
      </c>
      <c r="F97" s="3" t="s">
        <v>610</v>
      </c>
      <c r="G97" s="1" t="s">
        <v>217</v>
      </c>
      <c r="H97" s="6">
        <f>COUNTIF(ValidTeams[],E97)</f>
        <v>1</v>
      </c>
    </row>
    <row r="98" spans="1:8" x14ac:dyDescent="0.25">
      <c r="A98" s="1">
        <v>6</v>
      </c>
      <c r="B98">
        <f t="shared" si="6"/>
        <v>15</v>
      </c>
      <c r="C98" s="1" t="s">
        <v>228</v>
      </c>
      <c r="D98" s="1" t="s">
        <v>229</v>
      </c>
      <c r="E98" s="3" t="s">
        <v>230</v>
      </c>
      <c r="F98" s="3" t="s">
        <v>611</v>
      </c>
      <c r="G98" s="1" t="s">
        <v>217</v>
      </c>
      <c r="H98" s="6">
        <f>COUNTIF(ValidTeams[],E98)</f>
        <v>1</v>
      </c>
    </row>
    <row r="99" spans="1:8" x14ac:dyDescent="0.25">
      <c r="A99" s="1">
        <v>7</v>
      </c>
      <c r="B99">
        <f t="shared" si="6"/>
        <v>14</v>
      </c>
      <c r="C99" s="1" t="s">
        <v>236</v>
      </c>
      <c r="D99" s="1" t="s">
        <v>237</v>
      </c>
      <c r="E99" s="3" t="s">
        <v>238</v>
      </c>
      <c r="F99" s="3" t="s">
        <v>612</v>
      </c>
      <c r="G99" s="1" t="s">
        <v>217</v>
      </c>
      <c r="H99" s="6">
        <f>COUNTIF(ValidTeams[],E99)</f>
        <v>1</v>
      </c>
    </row>
    <row r="100" spans="1:8" x14ac:dyDescent="0.25">
      <c r="A100" s="1">
        <v>8</v>
      </c>
      <c r="B100">
        <f t="shared" si="6"/>
        <v>0</v>
      </c>
      <c r="C100" s="1" t="s">
        <v>613</v>
      </c>
      <c r="D100" s="1" t="s">
        <v>23</v>
      </c>
      <c r="E100" s="3"/>
      <c r="F100" s="3" t="s">
        <v>614</v>
      </c>
      <c r="G100" s="1" t="s">
        <v>217</v>
      </c>
      <c r="H100" s="6">
        <f>COUNTIF(ValidTeams[],E100)</f>
        <v>0</v>
      </c>
    </row>
    <row r="101" spans="1:8" x14ac:dyDescent="0.25">
      <c r="A101" s="1">
        <v>9</v>
      </c>
      <c r="B101">
        <f t="shared" si="6"/>
        <v>12</v>
      </c>
      <c r="C101" s="1" t="s">
        <v>243</v>
      </c>
      <c r="D101" s="1" t="s">
        <v>244</v>
      </c>
      <c r="E101" s="3" t="s">
        <v>12</v>
      </c>
      <c r="F101" s="3" t="s">
        <v>615</v>
      </c>
      <c r="G101" s="1" t="s">
        <v>217</v>
      </c>
      <c r="H101" s="6">
        <f>COUNTIF(ValidTeams[],E101)</f>
        <v>1</v>
      </c>
    </row>
    <row r="102" spans="1:8" x14ac:dyDescent="0.25">
      <c r="F102" s="2"/>
    </row>
    <row r="103" spans="1:8" x14ac:dyDescent="0.25">
      <c r="A103" s="4" t="s">
        <v>0</v>
      </c>
      <c r="B103" s="4" t="s">
        <v>73</v>
      </c>
      <c r="C103" s="4" t="s">
        <v>1</v>
      </c>
      <c r="D103" s="4" t="s">
        <v>2</v>
      </c>
      <c r="E103" s="5" t="s">
        <v>3</v>
      </c>
      <c r="F103" s="5" t="s">
        <v>4</v>
      </c>
      <c r="G103" s="4" t="s">
        <v>5</v>
      </c>
      <c r="H103" s="4" t="s">
        <v>72</v>
      </c>
    </row>
    <row r="104" spans="1:8" x14ac:dyDescent="0.25">
      <c r="A104" s="1">
        <v>1</v>
      </c>
      <c r="B104">
        <f t="shared" ref="B104:B109" si="7">IF(H104=1,MAX(21-A104,0),0)</f>
        <v>20</v>
      </c>
      <c r="C104" s="1" t="s">
        <v>246</v>
      </c>
      <c r="D104" s="1" t="s">
        <v>20</v>
      </c>
      <c r="E104" s="3" t="s">
        <v>44</v>
      </c>
      <c r="F104" s="3" t="s">
        <v>616</v>
      </c>
      <c r="G104" s="1" t="s">
        <v>248</v>
      </c>
      <c r="H104" s="6">
        <f>COUNTIF(ValidTeams[],E104)</f>
        <v>1</v>
      </c>
    </row>
    <row r="105" spans="1:8" x14ac:dyDescent="0.25">
      <c r="A105" s="1">
        <v>2</v>
      </c>
      <c r="B105">
        <f t="shared" si="7"/>
        <v>19</v>
      </c>
      <c r="C105" s="1" t="s">
        <v>249</v>
      </c>
      <c r="D105" s="1" t="s">
        <v>250</v>
      </c>
      <c r="E105" s="3" t="s">
        <v>617</v>
      </c>
      <c r="F105" s="3" t="s">
        <v>618</v>
      </c>
      <c r="G105" s="1" t="s">
        <v>248</v>
      </c>
      <c r="H105" s="6">
        <f>COUNTIF(ValidTeams[],E105)</f>
        <v>1</v>
      </c>
    </row>
    <row r="106" spans="1:8" x14ac:dyDescent="0.25">
      <c r="A106" s="1">
        <v>3</v>
      </c>
      <c r="B106">
        <f t="shared" si="7"/>
        <v>18</v>
      </c>
      <c r="C106" s="1" t="s">
        <v>113</v>
      </c>
      <c r="D106" s="1" t="s">
        <v>253</v>
      </c>
      <c r="E106" s="3" t="s">
        <v>254</v>
      </c>
      <c r="F106" s="3" t="s">
        <v>619</v>
      </c>
      <c r="G106" s="1" t="s">
        <v>248</v>
      </c>
      <c r="H106" s="6">
        <f>COUNTIF(ValidTeams[],E106)</f>
        <v>1</v>
      </c>
    </row>
    <row r="107" spans="1:8" x14ac:dyDescent="0.25">
      <c r="A107">
        <v>4</v>
      </c>
      <c r="B107">
        <f t="shared" si="7"/>
        <v>17</v>
      </c>
      <c r="C107" t="s">
        <v>256</v>
      </c>
      <c r="D107" t="s">
        <v>257</v>
      </c>
      <c r="E107" t="s">
        <v>238</v>
      </c>
      <c r="F107" t="s">
        <v>620</v>
      </c>
      <c r="G107" t="s">
        <v>248</v>
      </c>
      <c r="H107">
        <f>COUNTIF(ValidTeams[],E107)</f>
        <v>1</v>
      </c>
    </row>
    <row r="108" spans="1:8" x14ac:dyDescent="0.25">
      <c r="A108">
        <v>5</v>
      </c>
      <c r="B108">
        <f t="shared" si="7"/>
        <v>0</v>
      </c>
      <c r="C108" t="s">
        <v>262</v>
      </c>
      <c r="D108" t="s">
        <v>621</v>
      </c>
      <c r="E108"/>
      <c r="F108" t="s">
        <v>622</v>
      </c>
      <c r="G108" t="s">
        <v>248</v>
      </c>
      <c r="H108">
        <f>COUNTIF(ValidTeams[],E108)</f>
        <v>0</v>
      </c>
    </row>
    <row r="109" spans="1:8" x14ac:dyDescent="0.25">
      <c r="A109">
        <v>6</v>
      </c>
      <c r="B109">
        <f t="shared" si="7"/>
        <v>0</v>
      </c>
      <c r="E109"/>
      <c r="G109" t="s">
        <v>248</v>
      </c>
      <c r="H109">
        <f>COUNTIF(ValidTeams[],E109)</f>
        <v>0</v>
      </c>
    </row>
    <row r="110" spans="1:8" x14ac:dyDescent="0.25">
      <c r="F110" s="2"/>
    </row>
    <row r="111" spans="1:8" x14ac:dyDescent="0.25">
      <c r="A111" s="4" t="s">
        <v>0</v>
      </c>
      <c r="B111" s="4" t="s">
        <v>73</v>
      </c>
      <c r="C111" s="4" t="s">
        <v>1</v>
      </c>
      <c r="D111" s="4" t="s">
        <v>2</v>
      </c>
      <c r="E111" s="5" t="s">
        <v>3</v>
      </c>
      <c r="F111" s="5" t="s">
        <v>4</v>
      </c>
      <c r="G111" s="4" t="s">
        <v>5</v>
      </c>
      <c r="H111" s="4" t="s">
        <v>72</v>
      </c>
    </row>
    <row r="112" spans="1:8" x14ac:dyDescent="0.25">
      <c r="A112" s="1">
        <v>1</v>
      </c>
      <c r="B112">
        <f t="shared" ref="B112:B133" si="8">IF(H112=1,MAX(21-A112,0),0)</f>
        <v>20</v>
      </c>
      <c r="C112" s="1" t="s">
        <v>265</v>
      </c>
      <c r="D112" s="1" t="s">
        <v>266</v>
      </c>
      <c r="E112" s="3" t="s">
        <v>267</v>
      </c>
      <c r="F112" s="3" t="s">
        <v>623</v>
      </c>
      <c r="G112" s="1" t="s">
        <v>269</v>
      </c>
      <c r="H112" s="6">
        <f>COUNTIF(ValidTeams[],E112)</f>
        <v>1</v>
      </c>
    </row>
    <row r="113" spans="1:8" x14ac:dyDescent="0.25">
      <c r="A113" s="1">
        <v>2</v>
      </c>
      <c r="B113">
        <f t="shared" si="8"/>
        <v>19</v>
      </c>
      <c r="C113" s="1" t="s">
        <v>270</v>
      </c>
      <c r="D113" s="1" t="s">
        <v>24</v>
      </c>
      <c r="E113" s="3" t="s">
        <v>271</v>
      </c>
      <c r="F113" s="3" t="s">
        <v>587</v>
      </c>
      <c r="G113" s="1" t="s">
        <v>269</v>
      </c>
      <c r="H113" s="6">
        <f>COUNTIF(ValidTeams[],E113)</f>
        <v>1</v>
      </c>
    </row>
    <row r="114" spans="1:8" x14ac:dyDescent="0.25">
      <c r="A114" s="1">
        <v>3</v>
      </c>
      <c r="B114">
        <f t="shared" si="8"/>
        <v>18</v>
      </c>
      <c r="C114" s="1" t="s">
        <v>283</v>
      </c>
      <c r="D114" s="1" t="s">
        <v>284</v>
      </c>
      <c r="E114" s="3" t="s">
        <v>18</v>
      </c>
      <c r="F114" s="3" t="s">
        <v>624</v>
      </c>
      <c r="G114" s="1" t="s">
        <v>269</v>
      </c>
      <c r="H114" s="6">
        <f>COUNTIF(ValidTeams[],E114)</f>
        <v>1</v>
      </c>
    </row>
    <row r="115" spans="1:8" x14ac:dyDescent="0.25">
      <c r="A115" s="1">
        <v>4</v>
      </c>
      <c r="B115">
        <f t="shared" si="8"/>
        <v>17</v>
      </c>
      <c r="C115" s="1" t="s">
        <v>625</v>
      </c>
      <c r="D115" s="1" t="s">
        <v>174</v>
      </c>
      <c r="E115" s="3" t="s">
        <v>290</v>
      </c>
      <c r="F115" s="3" t="s">
        <v>626</v>
      </c>
      <c r="G115" s="1" t="s">
        <v>269</v>
      </c>
      <c r="H115" s="6">
        <f>COUNTIF(ValidTeams[],E115)</f>
        <v>1</v>
      </c>
    </row>
    <row r="116" spans="1:8" x14ac:dyDescent="0.25">
      <c r="A116" s="1">
        <v>5</v>
      </c>
      <c r="B116">
        <f t="shared" si="8"/>
        <v>16</v>
      </c>
      <c r="C116" s="1" t="s">
        <v>627</v>
      </c>
      <c r="D116" s="1" t="s">
        <v>318</v>
      </c>
      <c r="E116" s="3" t="s">
        <v>345</v>
      </c>
      <c r="F116" s="3" t="s">
        <v>628</v>
      </c>
      <c r="G116" s="1" t="s">
        <v>269</v>
      </c>
      <c r="H116" s="6">
        <f>COUNTIF(ValidTeams[],E116)</f>
        <v>1</v>
      </c>
    </row>
    <row r="117" spans="1:8" x14ac:dyDescent="0.25">
      <c r="A117" s="1">
        <v>6</v>
      </c>
      <c r="B117">
        <f t="shared" si="8"/>
        <v>15</v>
      </c>
      <c r="C117" s="1" t="s">
        <v>315</v>
      </c>
      <c r="D117" s="1" t="s">
        <v>23</v>
      </c>
      <c r="E117" s="3" t="s">
        <v>18</v>
      </c>
      <c r="F117" s="3" t="s">
        <v>629</v>
      </c>
      <c r="G117" s="1" t="s">
        <v>269</v>
      </c>
      <c r="H117" s="6">
        <f>COUNTIF(ValidTeams[],E117)</f>
        <v>1</v>
      </c>
    </row>
    <row r="118" spans="1:8" x14ac:dyDescent="0.25">
      <c r="A118" s="1">
        <v>7</v>
      </c>
      <c r="B118">
        <f t="shared" si="8"/>
        <v>14</v>
      </c>
      <c r="C118" s="1" t="s">
        <v>630</v>
      </c>
      <c r="D118" s="1" t="s">
        <v>511</v>
      </c>
      <c r="E118" s="3" t="s">
        <v>345</v>
      </c>
      <c r="F118" s="3" t="s">
        <v>631</v>
      </c>
      <c r="G118" s="1" t="s">
        <v>269</v>
      </c>
      <c r="H118" s="6">
        <f>COUNTIF(ValidTeams[],E118)</f>
        <v>1</v>
      </c>
    </row>
    <row r="119" spans="1:8" x14ac:dyDescent="0.25">
      <c r="A119" s="1">
        <v>8</v>
      </c>
      <c r="B119">
        <f t="shared" si="8"/>
        <v>0</v>
      </c>
      <c r="C119" s="1"/>
      <c r="D119" s="1"/>
      <c r="E119" s="3"/>
      <c r="F119" s="3"/>
      <c r="G119" s="1" t="s">
        <v>269</v>
      </c>
      <c r="H119" s="6">
        <f>COUNTIF(ValidTeams[],E119)</f>
        <v>0</v>
      </c>
    </row>
    <row r="120" spans="1:8" x14ac:dyDescent="0.25">
      <c r="A120" s="1">
        <v>9</v>
      </c>
      <c r="B120">
        <f t="shared" si="8"/>
        <v>0</v>
      </c>
      <c r="C120" s="1"/>
      <c r="D120" s="1"/>
      <c r="E120" s="3"/>
      <c r="F120" s="3"/>
      <c r="G120" s="1" t="s">
        <v>269</v>
      </c>
      <c r="H120" s="6">
        <f>COUNTIF(ValidTeams[],E120)</f>
        <v>0</v>
      </c>
    </row>
    <row r="121" spans="1:8" x14ac:dyDescent="0.25">
      <c r="A121" s="1">
        <v>10</v>
      </c>
      <c r="B121">
        <f t="shared" si="8"/>
        <v>0</v>
      </c>
      <c r="C121" s="1"/>
      <c r="D121" s="1"/>
      <c r="E121" s="3"/>
      <c r="F121" s="3"/>
      <c r="G121" s="1" t="s">
        <v>269</v>
      </c>
      <c r="H121" s="6">
        <f>COUNTIF(ValidTeams[],E121)</f>
        <v>0</v>
      </c>
    </row>
    <row r="122" spans="1:8" x14ac:dyDescent="0.25">
      <c r="A122" s="1">
        <v>11</v>
      </c>
      <c r="B122">
        <f t="shared" si="8"/>
        <v>0</v>
      </c>
      <c r="C122" s="1"/>
      <c r="D122" s="1"/>
      <c r="E122" s="3"/>
      <c r="F122" s="3"/>
      <c r="G122" s="1" t="s">
        <v>269</v>
      </c>
      <c r="H122" s="6">
        <f>COUNTIF(ValidTeams[],E122)</f>
        <v>0</v>
      </c>
    </row>
    <row r="123" spans="1:8" x14ac:dyDescent="0.25">
      <c r="A123" s="1">
        <v>12</v>
      </c>
      <c r="B123">
        <f t="shared" si="8"/>
        <v>0</v>
      </c>
      <c r="C123" s="1"/>
      <c r="D123" s="1"/>
      <c r="E123" s="3"/>
      <c r="F123" s="3"/>
      <c r="G123" s="1" t="s">
        <v>269</v>
      </c>
      <c r="H123" s="6">
        <f>COUNTIF(ValidTeams[],E123)</f>
        <v>0</v>
      </c>
    </row>
    <row r="124" spans="1:8" x14ac:dyDescent="0.25">
      <c r="A124" s="1">
        <v>13</v>
      </c>
      <c r="B124">
        <f t="shared" si="8"/>
        <v>0</v>
      </c>
      <c r="C124" s="1"/>
      <c r="D124" s="1"/>
      <c r="E124" s="3"/>
      <c r="F124" s="3"/>
      <c r="G124" s="1" t="s">
        <v>269</v>
      </c>
      <c r="H124" s="6">
        <f>COUNTIF(ValidTeams[],E124)</f>
        <v>0</v>
      </c>
    </row>
    <row r="125" spans="1:8" x14ac:dyDescent="0.25">
      <c r="A125" s="1">
        <v>14</v>
      </c>
      <c r="B125">
        <f t="shared" si="8"/>
        <v>0</v>
      </c>
      <c r="C125" s="1"/>
      <c r="D125" s="1"/>
      <c r="E125" s="3"/>
      <c r="F125" s="3"/>
      <c r="G125" s="1" t="s">
        <v>269</v>
      </c>
      <c r="H125" s="6">
        <f>COUNTIF(ValidTeams[],E125)</f>
        <v>0</v>
      </c>
    </row>
    <row r="126" spans="1:8" x14ac:dyDescent="0.25">
      <c r="A126">
        <v>15</v>
      </c>
      <c r="B126">
        <f t="shared" si="8"/>
        <v>0</v>
      </c>
      <c r="E126"/>
      <c r="G126" t="s">
        <v>269</v>
      </c>
      <c r="H126">
        <f>COUNTIF(ValidTeams[],E126)</f>
        <v>0</v>
      </c>
    </row>
    <row r="127" spans="1:8" x14ac:dyDescent="0.25">
      <c r="A127" s="1">
        <v>16</v>
      </c>
      <c r="B127">
        <f t="shared" si="8"/>
        <v>0</v>
      </c>
      <c r="C127" s="1"/>
      <c r="D127" s="1"/>
      <c r="E127" s="3"/>
      <c r="F127" s="3"/>
      <c r="G127" s="1" t="s">
        <v>269</v>
      </c>
      <c r="H127" s="6">
        <f>COUNTIF(ValidTeams[],E127)</f>
        <v>0</v>
      </c>
    </row>
    <row r="128" spans="1:8" x14ac:dyDescent="0.25">
      <c r="A128" s="1">
        <v>17</v>
      </c>
      <c r="B128">
        <f t="shared" si="8"/>
        <v>0</v>
      </c>
      <c r="C128" s="1"/>
      <c r="D128" s="1"/>
      <c r="E128" s="3"/>
      <c r="F128" s="3"/>
      <c r="G128" s="1" t="s">
        <v>269</v>
      </c>
      <c r="H128" s="6">
        <f>COUNTIF(ValidTeams[],E128)</f>
        <v>0</v>
      </c>
    </row>
    <row r="129" spans="1:8" x14ac:dyDescent="0.25">
      <c r="A129" s="1">
        <v>18</v>
      </c>
      <c r="B129">
        <f t="shared" si="8"/>
        <v>0</v>
      </c>
      <c r="C129" s="1"/>
      <c r="D129" s="1"/>
      <c r="E129" s="3"/>
      <c r="F129" s="3"/>
      <c r="G129" s="1" t="s">
        <v>269</v>
      </c>
      <c r="H129" s="6">
        <f>COUNTIF(ValidTeams[],E129)</f>
        <v>0</v>
      </c>
    </row>
    <row r="130" spans="1:8" x14ac:dyDescent="0.25">
      <c r="A130">
        <v>19</v>
      </c>
      <c r="B130">
        <f t="shared" si="8"/>
        <v>0</v>
      </c>
      <c r="E130"/>
      <c r="G130" t="s">
        <v>269</v>
      </c>
      <c r="H130">
        <f>COUNTIF(ValidTeams[],E130)</f>
        <v>0</v>
      </c>
    </row>
    <row r="131" spans="1:8" x14ac:dyDescent="0.25">
      <c r="A131">
        <v>20</v>
      </c>
      <c r="B131">
        <f t="shared" si="8"/>
        <v>0</v>
      </c>
      <c r="E131"/>
      <c r="G131" t="s">
        <v>269</v>
      </c>
      <c r="H131">
        <f>COUNTIF(ValidTeams[],E131)</f>
        <v>0</v>
      </c>
    </row>
    <row r="132" spans="1:8" x14ac:dyDescent="0.25">
      <c r="A132">
        <v>21</v>
      </c>
      <c r="B132">
        <f t="shared" si="8"/>
        <v>0</v>
      </c>
      <c r="E132"/>
      <c r="G132" t="s">
        <v>269</v>
      </c>
      <c r="H132">
        <f>COUNTIF(ValidTeams[],E132)</f>
        <v>0</v>
      </c>
    </row>
    <row r="133" spans="1:8" x14ac:dyDescent="0.25">
      <c r="A133">
        <v>22</v>
      </c>
      <c r="B133">
        <f t="shared" si="8"/>
        <v>0</v>
      </c>
      <c r="E133"/>
      <c r="G133" t="s">
        <v>269</v>
      </c>
      <c r="H133">
        <f>COUNTIF(ValidTeams[],E133)</f>
        <v>0</v>
      </c>
    </row>
    <row r="134" spans="1:8" x14ac:dyDescent="0.25">
      <c r="F134" s="2"/>
    </row>
    <row r="135" spans="1:8" x14ac:dyDescent="0.25">
      <c r="A135" s="4" t="s">
        <v>0</v>
      </c>
      <c r="B135" s="4" t="s">
        <v>73</v>
      </c>
      <c r="C135" s="4" t="s">
        <v>1</v>
      </c>
      <c r="D135" s="4" t="s">
        <v>2</v>
      </c>
      <c r="E135" s="5" t="s">
        <v>3</v>
      </c>
      <c r="F135" s="5" t="s">
        <v>4</v>
      </c>
      <c r="G135" s="4" t="s">
        <v>5</v>
      </c>
      <c r="H135" s="4" t="s">
        <v>72</v>
      </c>
    </row>
    <row r="136" spans="1:8" x14ac:dyDescent="0.25">
      <c r="A136" s="1">
        <v>1</v>
      </c>
      <c r="B136">
        <f t="shared" ref="B136:B145" si="9">IF(H136=1,MAX(21-A136,0),0)</f>
        <v>20</v>
      </c>
      <c r="C136" s="1" t="s">
        <v>329</v>
      </c>
      <c r="D136" s="1" t="s">
        <v>330</v>
      </c>
      <c r="E136" s="3" t="s">
        <v>441</v>
      </c>
      <c r="F136" s="3" t="s">
        <v>604</v>
      </c>
      <c r="G136" s="1" t="s">
        <v>331</v>
      </c>
      <c r="H136" s="6">
        <f>COUNTIF(ValidTeams[],E136)</f>
        <v>1</v>
      </c>
    </row>
    <row r="137" spans="1:8" x14ac:dyDescent="0.25">
      <c r="A137" s="1">
        <v>2</v>
      </c>
      <c r="B137">
        <f t="shared" si="9"/>
        <v>19</v>
      </c>
      <c r="C137" s="1" t="s">
        <v>338</v>
      </c>
      <c r="D137" s="1" t="s">
        <v>339</v>
      </c>
      <c r="E137" s="3" t="s">
        <v>441</v>
      </c>
      <c r="F137" s="3" t="s">
        <v>632</v>
      </c>
      <c r="G137" s="1" t="s">
        <v>331</v>
      </c>
      <c r="H137" s="6">
        <f>COUNTIF(ValidTeams[],E137)</f>
        <v>1</v>
      </c>
    </row>
    <row r="138" spans="1:8" x14ac:dyDescent="0.25">
      <c r="A138" s="1">
        <v>3</v>
      </c>
      <c r="B138">
        <f t="shared" si="9"/>
        <v>18</v>
      </c>
      <c r="C138" s="1" t="s">
        <v>343</v>
      </c>
      <c r="D138" s="1" t="s">
        <v>344</v>
      </c>
      <c r="E138" s="3" t="s">
        <v>345</v>
      </c>
      <c r="F138" s="3" t="s">
        <v>633</v>
      </c>
      <c r="G138" s="1" t="s">
        <v>331</v>
      </c>
      <c r="H138" s="6">
        <f>COUNTIF(ValidTeams[],E138)</f>
        <v>1</v>
      </c>
    </row>
    <row r="139" spans="1:8" x14ac:dyDescent="0.25">
      <c r="A139" s="1">
        <v>4</v>
      </c>
      <c r="B139">
        <f t="shared" si="9"/>
        <v>17</v>
      </c>
      <c r="C139" s="1" t="s">
        <v>6</v>
      </c>
      <c r="D139" s="1" t="s">
        <v>341</v>
      </c>
      <c r="E139" s="3" t="s">
        <v>8</v>
      </c>
      <c r="F139" s="3" t="s">
        <v>634</v>
      </c>
      <c r="G139" s="1" t="s">
        <v>331</v>
      </c>
      <c r="H139" s="6">
        <f>COUNTIF(ValidTeams[],E139)</f>
        <v>1</v>
      </c>
    </row>
    <row r="140" spans="1:8" x14ac:dyDescent="0.25">
      <c r="A140" s="1">
        <v>5</v>
      </c>
      <c r="B140">
        <f t="shared" si="9"/>
        <v>0</v>
      </c>
      <c r="C140" s="1" t="s">
        <v>635</v>
      </c>
      <c r="D140" s="1" t="s">
        <v>636</v>
      </c>
      <c r="E140" s="3" t="s">
        <v>637</v>
      </c>
      <c r="F140" s="3" t="s">
        <v>638</v>
      </c>
      <c r="G140" s="1" t="s">
        <v>331</v>
      </c>
      <c r="H140" s="6">
        <f>COUNTIF(ValidTeams[],E140)</f>
        <v>0</v>
      </c>
    </row>
    <row r="141" spans="1:8" x14ac:dyDescent="0.25">
      <c r="A141" s="1">
        <v>6</v>
      </c>
      <c r="B141">
        <f t="shared" si="9"/>
        <v>0</v>
      </c>
      <c r="C141" s="1" t="s">
        <v>639</v>
      </c>
      <c r="D141" s="1" t="s">
        <v>640</v>
      </c>
      <c r="E141" s="3"/>
      <c r="F141" s="3" t="s">
        <v>642</v>
      </c>
      <c r="G141" s="1" t="s">
        <v>331</v>
      </c>
      <c r="H141" s="6">
        <f>COUNTIF(ValidTeams[],E141)</f>
        <v>0</v>
      </c>
    </row>
    <row r="142" spans="1:8" x14ac:dyDescent="0.25">
      <c r="A142" s="1">
        <v>7</v>
      </c>
      <c r="B142">
        <f t="shared" si="9"/>
        <v>14</v>
      </c>
      <c r="C142" s="1" t="s">
        <v>351</v>
      </c>
      <c r="D142" s="1" t="s">
        <v>352</v>
      </c>
      <c r="E142" s="3" t="s">
        <v>38</v>
      </c>
      <c r="F142" s="3" t="s">
        <v>641</v>
      </c>
      <c r="G142" s="1" t="s">
        <v>331</v>
      </c>
      <c r="H142" s="6">
        <f>COUNTIF(ValidTeams[],E142)</f>
        <v>1</v>
      </c>
    </row>
    <row r="143" spans="1:8" x14ac:dyDescent="0.25">
      <c r="A143" s="1">
        <v>8</v>
      </c>
      <c r="B143">
        <f t="shared" si="9"/>
        <v>13</v>
      </c>
      <c r="C143" s="1" t="s">
        <v>356</v>
      </c>
      <c r="D143" s="1" t="s">
        <v>357</v>
      </c>
      <c r="E143" s="3" t="s">
        <v>100</v>
      </c>
      <c r="F143" s="3" t="s">
        <v>643</v>
      </c>
      <c r="G143" s="1" t="s">
        <v>331</v>
      </c>
      <c r="H143" s="6">
        <f>COUNTIF(ValidTeams[],E143)</f>
        <v>1</v>
      </c>
    </row>
    <row r="144" spans="1:8" x14ac:dyDescent="0.25">
      <c r="A144" s="1">
        <v>9</v>
      </c>
      <c r="B144">
        <f t="shared" si="9"/>
        <v>12</v>
      </c>
      <c r="C144" s="1" t="s">
        <v>354</v>
      </c>
      <c r="D144" s="1" t="s">
        <v>81</v>
      </c>
      <c r="E144" s="3" t="s">
        <v>91</v>
      </c>
      <c r="F144" s="3" t="s">
        <v>644</v>
      </c>
      <c r="G144" s="1" t="s">
        <v>331</v>
      </c>
      <c r="H144" s="6">
        <f>COUNTIF(ValidTeams[],E144)</f>
        <v>1</v>
      </c>
    </row>
    <row r="145" spans="1:8" x14ac:dyDescent="0.25">
      <c r="A145" s="1">
        <v>10</v>
      </c>
      <c r="B145">
        <f t="shared" si="9"/>
        <v>0</v>
      </c>
      <c r="C145" s="1"/>
      <c r="D145" s="1"/>
      <c r="E145" s="3"/>
      <c r="F145" s="3"/>
      <c r="G145" s="1" t="s">
        <v>331</v>
      </c>
      <c r="H145" s="6">
        <f>COUNTIF(ValidTeams[],E145)</f>
        <v>0</v>
      </c>
    </row>
    <row r="146" spans="1:8" x14ac:dyDescent="0.25">
      <c r="F146" s="2"/>
    </row>
    <row r="147" spans="1:8" x14ac:dyDescent="0.25">
      <c r="A147" s="4" t="s">
        <v>0</v>
      </c>
      <c r="B147" s="4" t="s">
        <v>73</v>
      </c>
      <c r="C147" s="4" t="s">
        <v>1</v>
      </c>
      <c r="D147" s="4" t="s">
        <v>2</v>
      </c>
      <c r="E147" s="5" t="s">
        <v>3</v>
      </c>
      <c r="F147" s="5" t="s">
        <v>4</v>
      </c>
      <c r="G147" s="4" t="s">
        <v>5</v>
      </c>
      <c r="H147" s="4" t="s">
        <v>72</v>
      </c>
    </row>
    <row r="148" spans="1:8" x14ac:dyDescent="0.25">
      <c r="A148" s="1">
        <v>1</v>
      </c>
      <c r="B148">
        <f t="shared" ref="B148:B161" si="10">IF(H148=1,MAX(21-A148,0),0)</f>
        <v>20</v>
      </c>
      <c r="C148" s="1" t="s">
        <v>645</v>
      </c>
      <c r="D148" s="1" t="s">
        <v>646</v>
      </c>
      <c r="E148" s="3" t="s">
        <v>345</v>
      </c>
      <c r="F148" s="3" t="s">
        <v>647</v>
      </c>
      <c r="G148" s="1" t="s">
        <v>363</v>
      </c>
      <c r="H148" s="6">
        <f>COUNTIF(ValidTeams[],E148)</f>
        <v>1</v>
      </c>
    </row>
    <row r="149" spans="1:8" x14ac:dyDescent="0.25">
      <c r="A149" s="1">
        <v>2</v>
      </c>
      <c r="B149">
        <f t="shared" si="10"/>
        <v>19</v>
      </c>
      <c r="C149" s="1" t="s">
        <v>66</v>
      </c>
      <c r="D149" s="1" t="s">
        <v>176</v>
      </c>
      <c r="E149" s="3" t="s">
        <v>442</v>
      </c>
      <c r="F149" s="3" t="s">
        <v>648</v>
      </c>
      <c r="G149" s="1" t="s">
        <v>363</v>
      </c>
      <c r="H149" s="6">
        <f>COUNTIF(ValidTeams[],E149)</f>
        <v>1</v>
      </c>
    </row>
    <row r="150" spans="1:8" x14ac:dyDescent="0.25">
      <c r="A150" s="1">
        <v>3</v>
      </c>
      <c r="B150">
        <f t="shared" si="10"/>
        <v>18</v>
      </c>
      <c r="C150" s="1" t="s">
        <v>649</v>
      </c>
      <c r="D150" s="1" t="s">
        <v>281</v>
      </c>
      <c r="E150" s="3" t="s">
        <v>8</v>
      </c>
      <c r="F150" s="3" t="s">
        <v>650</v>
      </c>
      <c r="G150" s="1" t="s">
        <v>363</v>
      </c>
      <c r="H150" s="6">
        <f>COUNTIF(ValidTeams[],E150)</f>
        <v>1</v>
      </c>
    </row>
    <row r="151" spans="1:8" x14ac:dyDescent="0.25">
      <c r="A151" s="1">
        <v>4</v>
      </c>
      <c r="B151">
        <f t="shared" si="10"/>
        <v>17</v>
      </c>
      <c r="C151" s="1" t="s">
        <v>370</v>
      </c>
      <c r="D151" s="1" t="s">
        <v>281</v>
      </c>
      <c r="E151" s="3" t="s">
        <v>267</v>
      </c>
      <c r="F151" s="3" t="s">
        <v>597</v>
      </c>
      <c r="G151" s="1" t="s">
        <v>363</v>
      </c>
      <c r="H151" s="6">
        <f>COUNTIF(ValidTeams[],E151)</f>
        <v>1</v>
      </c>
    </row>
    <row r="152" spans="1:8" x14ac:dyDescent="0.25">
      <c r="A152" s="1">
        <v>5</v>
      </c>
      <c r="B152">
        <f t="shared" si="10"/>
        <v>16</v>
      </c>
      <c r="C152" s="1" t="s">
        <v>193</v>
      </c>
      <c r="D152" s="1" t="s">
        <v>194</v>
      </c>
      <c r="E152" s="3" t="s">
        <v>442</v>
      </c>
      <c r="F152" s="3" t="s">
        <v>651</v>
      </c>
      <c r="G152" s="1" t="s">
        <v>363</v>
      </c>
      <c r="H152" s="6">
        <f>COUNTIF(ValidTeams[],E152)</f>
        <v>1</v>
      </c>
    </row>
    <row r="153" spans="1:8" x14ac:dyDescent="0.25">
      <c r="A153" s="1">
        <v>6</v>
      </c>
      <c r="B153">
        <f t="shared" si="10"/>
        <v>15</v>
      </c>
      <c r="C153" s="1" t="s">
        <v>372</v>
      </c>
      <c r="D153" s="1" t="s">
        <v>278</v>
      </c>
      <c r="E153" s="3" t="s">
        <v>267</v>
      </c>
      <c r="F153" s="3" t="s">
        <v>531</v>
      </c>
      <c r="G153" s="1" t="s">
        <v>363</v>
      </c>
      <c r="H153" s="6">
        <f>COUNTIF(ValidTeams[],E153)</f>
        <v>1</v>
      </c>
    </row>
    <row r="154" spans="1:8" x14ac:dyDescent="0.25">
      <c r="A154" s="1">
        <v>7</v>
      </c>
      <c r="B154">
        <f t="shared" si="10"/>
        <v>14</v>
      </c>
      <c r="C154" s="1" t="s">
        <v>652</v>
      </c>
      <c r="D154" s="1" t="s">
        <v>250</v>
      </c>
      <c r="E154" s="3" t="s">
        <v>653</v>
      </c>
      <c r="F154" s="3" t="s">
        <v>654</v>
      </c>
      <c r="G154" s="1" t="s">
        <v>363</v>
      </c>
      <c r="H154" s="6">
        <f>COUNTIF(ValidTeams[],E154)</f>
        <v>1</v>
      </c>
    </row>
    <row r="155" spans="1:8" x14ac:dyDescent="0.25">
      <c r="A155" s="1">
        <v>8</v>
      </c>
      <c r="B155">
        <f t="shared" si="10"/>
        <v>0</v>
      </c>
      <c r="C155" s="1" t="s">
        <v>378</v>
      </c>
      <c r="D155" s="1" t="s">
        <v>14</v>
      </c>
      <c r="E155" s="3" t="s">
        <v>167</v>
      </c>
      <c r="F155" s="3" t="s">
        <v>655</v>
      </c>
      <c r="G155" s="1" t="s">
        <v>363</v>
      </c>
      <c r="H155" s="6">
        <f>COUNTIF(ValidTeams[],E155)</f>
        <v>0</v>
      </c>
    </row>
    <row r="156" spans="1:8" x14ac:dyDescent="0.25">
      <c r="A156">
        <v>9</v>
      </c>
      <c r="B156">
        <f t="shared" si="10"/>
        <v>0</v>
      </c>
      <c r="C156" t="s">
        <v>380</v>
      </c>
      <c r="D156" t="s">
        <v>194</v>
      </c>
      <c r="E156" t="s">
        <v>167</v>
      </c>
      <c r="F156" t="s">
        <v>656</v>
      </c>
      <c r="G156" t="s">
        <v>363</v>
      </c>
      <c r="H156">
        <f>COUNTIF(ValidTeams[],E156)</f>
        <v>0</v>
      </c>
    </row>
    <row r="157" spans="1:8" x14ac:dyDescent="0.25">
      <c r="A157">
        <v>10</v>
      </c>
      <c r="B157">
        <f t="shared" si="10"/>
        <v>0</v>
      </c>
      <c r="C157" t="s">
        <v>657</v>
      </c>
      <c r="D157" t="s">
        <v>33</v>
      </c>
      <c r="E157"/>
      <c r="F157" t="s">
        <v>658</v>
      </c>
      <c r="G157" t="s">
        <v>363</v>
      </c>
      <c r="H157">
        <f>COUNTIF(ValidTeams[],E157)</f>
        <v>0</v>
      </c>
    </row>
    <row r="158" spans="1:8" x14ac:dyDescent="0.25">
      <c r="A158">
        <v>11</v>
      </c>
      <c r="B158">
        <f t="shared" si="10"/>
        <v>0</v>
      </c>
      <c r="E158"/>
      <c r="G158" t="s">
        <v>363</v>
      </c>
      <c r="H158">
        <f>COUNTIF(ValidTeams[],E158)</f>
        <v>0</v>
      </c>
    </row>
    <row r="159" spans="1:8" x14ac:dyDescent="0.25">
      <c r="A159">
        <v>12</v>
      </c>
      <c r="B159">
        <f t="shared" si="10"/>
        <v>0</v>
      </c>
      <c r="E159"/>
      <c r="G159" t="s">
        <v>363</v>
      </c>
      <c r="H159">
        <f>COUNTIF(ValidTeams[],E159)</f>
        <v>0</v>
      </c>
    </row>
    <row r="160" spans="1:8" x14ac:dyDescent="0.25">
      <c r="A160">
        <v>13</v>
      </c>
      <c r="B160">
        <f t="shared" si="10"/>
        <v>0</v>
      </c>
      <c r="E160"/>
      <c r="G160" t="s">
        <v>363</v>
      </c>
      <c r="H160">
        <f>COUNTIF(ValidTeams[],E160)</f>
        <v>0</v>
      </c>
    </row>
    <row r="161" spans="1:8" x14ac:dyDescent="0.25">
      <c r="A161">
        <v>14</v>
      </c>
      <c r="B161">
        <f t="shared" si="10"/>
        <v>0</v>
      </c>
      <c r="E161"/>
      <c r="G161" t="s">
        <v>363</v>
      </c>
      <c r="H161">
        <f>COUNTIF(ValidTeams[],E161)</f>
        <v>0</v>
      </c>
    </row>
    <row r="162" spans="1:8" x14ac:dyDescent="0.25">
      <c r="F162" s="2"/>
    </row>
    <row r="163" spans="1:8" x14ac:dyDescent="0.25">
      <c r="A163" s="4" t="s">
        <v>0</v>
      </c>
      <c r="B163" s="4" t="s">
        <v>73</v>
      </c>
      <c r="C163" s="4" t="s">
        <v>1</v>
      </c>
      <c r="D163" s="4" t="s">
        <v>2</v>
      </c>
      <c r="E163" s="5" t="s">
        <v>3</v>
      </c>
      <c r="F163" s="5" t="s">
        <v>4</v>
      </c>
      <c r="G163" s="4" t="s">
        <v>5</v>
      </c>
      <c r="H163" s="4" t="s">
        <v>72</v>
      </c>
    </row>
    <row r="164" spans="1:8" x14ac:dyDescent="0.25">
      <c r="A164" s="1">
        <v>1</v>
      </c>
      <c r="B164">
        <f t="shared" ref="B164:B166" si="11">IF(H164=1,MAX(21-A164,0),0)</f>
        <v>20</v>
      </c>
      <c r="C164" s="1" t="s">
        <v>396</v>
      </c>
      <c r="D164" s="1" t="s">
        <v>397</v>
      </c>
      <c r="E164" s="3" t="s">
        <v>88</v>
      </c>
      <c r="F164" s="3" t="s">
        <v>659</v>
      </c>
      <c r="G164" s="1" t="s">
        <v>399</v>
      </c>
      <c r="H164" s="6">
        <f>COUNTIF(ValidTeams[],E164)</f>
        <v>1</v>
      </c>
    </row>
    <row r="165" spans="1:8" x14ac:dyDescent="0.25">
      <c r="A165" s="1">
        <v>2</v>
      </c>
      <c r="B165">
        <f t="shared" si="11"/>
        <v>19</v>
      </c>
      <c r="C165" s="1" t="s">
        <v>400</v>
      </c>
      <c r="D165" s="1" t="s">
        <v>401</v>
      </c>
      <c r="E165" s="3" t="s">
        <v>290</v>
      </c>
      <c r="F165" s="3" t="s">
        <v>660</v>
      </c>
      <c r="G165" s="1" t="s">
        <v>399</v>
      </c>
      <c r="H165" s="6">
        <f>COUNTIF(ValidTeams[],E165)</f>
        <v>1</v>
      </c>
    </row>
    <row r="166" spans="1:8" x14ac:dyDescent="0.25">
      <c r="A166" s="1">
        <v>3</v>
      </c>
      <c r="B166">
        <f t="shared" si="11"/>
        <v>0</v>
      </c>
      <c r="C166" s="1" t="s">
        <v>662</v>
      </c>
      <c r="D166" s="1" t="s">
        <v>661</v>
      </c>
      <c r="E166" s="3" t="s">
        <v>663</v>
      </c>
      <c r="F166" s="3" t="s">
        <v>664</v>
      </c>
      <c r="G166" s="1" t="s">
        <v>399</v>
      </c>
      <c r="H166" s="6">
        <f>COUNTIF(ValidTeams[],E166)</f>
        <v>0</v>
      </c>
    </row>
    <row r="167" spans="1:8" x14ac:dyDescent="0.25">
      <c r="A167" s="1">
        <v>4</v>
      </c>
      <c r="B167" s="1">
        <f>IF(H167=1,MAX(21-A167,0),0)</f>
        <v>17</v>
      </c>
      <c r="C167" s="1" t="s">
        <v>193</v>
      </c>
      <c r="D167" s="1" t="s">
        <v>665</v>
      </c>
      <c r="E167" s="3" t="s">
        <v>442</v>
      </c>
      <c r="F167" s="3" t="s">
        <v>666</v>
      </c>
      <c r="G167" s="1" t="s">
        <v>399</v>
      </c>
      <c r="H167" s="24">
        <f>COUNTIF(ValidTeams[],E167)</f>
        <v>1</v>
      </c>
    </row>
    <row r="168" spans="1:8" x14ac:dyDescent="0.25">
      <c r="A168" s="1">
        <v>5</v>
      </c>
      <c r="B168" s="1">
        <f>IF(H168=1,MAX(21-A168,0),0)</f>
        <v>16</v>
      </c>
      <c r="C168" s="1" t="s">
        <v>354</v>
      </c>
      <c r="D168" s="1" t="s">
        <v>81</v>
      </c>
      <c r="E168" s="3" t="s">
        <v>91</v>
      </c>
      <c r="F168" s="3" t="s">
        <v>667</v>
      </c>
      <c r="G168" s="1" t="s">
        <v>399</v>
      </c>
      <c r="H168" s="24">
        <f>COUNTIF(ValidTeams[],E168)</f>
        <v>1</v>
      </c>
    </row>
    <row r="169" spans="1:8" x14ac:dyDescent="0.25">
      <c r="A169" s="4" t="s">
        <v>0</v>
      </c>
      <c r="B169" s="4" t="s">
        <v>73</v>
      </c>
      <c r="C169" s="4" t="s">
        <v>1</v>
      </c>
      <c r="D169" s="4" t="s">
        <v>2</v>
      </c>
      <c r="E169" s="5" t="s">
        <v>3</v>
      </c>
      <c r="F169" s="5" t="s">
        <v>4</v>
      </c>
      <c r="G169" s="4" t="s">
        <v>5</v>
      </c>
      <c r="H169" s="4" t="s">
        <v>72</v>
      </c>
    </row>
    <row r="170" spans="1:8" x14ac:dyDescent="0.25">
      <c r="A170" s="1">
        <v>1</v>
      </c>
      <c r="B170">
        <f t="shared" ref="B170:B176" si="12">IF(H170=1,MAX(21-A170,0),0)</f>
        <v>20</v>
      </c>
      <c r="C170" s="1" t="s">
        <v>409</v>
      </c>
      <c r="D170" s="1" t="s">
        <v>225</v>
      </c>
      <c r="E170" s="3" t="s">
        <v>88</v>
      </c>
      <c r="F170" s="3" t="s">
        <v>668</v>
      </c>
      <c r="G170" s="1" t="s">
        <v>405</v>
      </c>
      <c r="H170" s="6">
        <f>COUNTIF(ValidTeams[],E170)</f>
        <v>1</v>
      </c>
    </row>
    <row r="171" spans="1:8" x14ac:dyDescent="0.25">
      <c r="A171" s="1">
        <v>2</v>
      </c>
      <c r="B171">
        <f t="shared" si="12"/>
        <v>19</v>
      </c>
      <c r="C171" s="1" t="s">
        <v>411</v>
      </c>
      <c r="D171" s="1" t="s">
        <v>412</v>
      </c>
      <c r="E171" s="3" t="s">
        <v>413</v>
      </c>
      <c r="F171" s="3" t="s">
        <v>508</v>
      </c>
      <c r="G171" s="1" t="s">
        <v>405</v>
      </c>
      <c r="H171" s="6">
        <f>COUNTIF(ValidTeams[],E171)</f>
        <v>1</v>
      </c>
    </row>
    <row r="172" spans="1:8" x14ac:dyDescent="0.25">
      <c r="A172" s="1">
        <v>3</v>
      </c>
      <c r="B172">
        <f t="shared" si="12"/>
        <v>18</v>
      </c>
      <c r="C172" s="1" t="s">
        <v>669</v>
      </c>
      <c r="D172" s="1" t="s">
        <v>670</v>
      </c>
      <c r="E172" s="3" t="s">
        <v>451</v>
      </c>
      <c r="F172" s="3" t="s">
        <v>671</v>
      </c>
      <c r="G172" s="1" t="s">
        <v>405</v>
      </c>
      <c r="H172" s="6">
        <f>COUNTIF(ValidTeams[],E172)</f>
        <v>1</v>
      </c>
    </row>
    <row r="173" spans="1:8" x14ac:dyDescent="0.25">
      <c r="A173" s="1">
        <v>4</v>
      </c>
      <c r="B173">
        <f t="shared" si="12"/>
        <v>17</v>
      </c>
      <c r="C173" s="1" t="s">
        <v>672</v>
      </c>
      <c r="D173" s="1" t="s">
        <v>673</v>
      </c>
      <c r="E173" s="3" t="s">
        <v>226</v>
      </c>
      <c r="F173" s="3" t="s">
        <v>674</v>
      </c>
      <c r="G173" s="1" t="s">
        <v>405</v>
      </c>
      <c r="H173" s="6">
        <f>COUNTIF(ValidTeams[],E173)</f>
        <v>1</v>
      </c>
    </row>
    <row r="174" spans="1:8" x14ac:dyDescent="0.25">
      <c r="A174" s="1">
        <v>5</v>
      </c>
      <c r="B174">
        <f t="shared" si="12"/>
        <v>16</v>
      </c>
      <c r="C174" s="1" t="s">
        <v>675</v>
      </c>
      <c r="D174" s="1" t="s">
        <v>676</v>
      </c>
      <c r="E174" s="3" t="s">
        <v>345</v>
      </c>
      <c r="F174" s="3" t="s">
        <v>677</v>
      </c>
      <c r="G174" s="1" t="s">
        <v>405</v>
      </c>
      <c r="H174" s="6">
        <f>COUNTIF(ValidTeams[],E174)</f>
        <v>1</v>
      </c>
    </row>
    <row r="175" spans="1:8" x14ac:dyDescent="0.25">
      <c r="A175" s="1">
        <v>6</v>
      </c>
      <c r="B175">
        <f t="shared" si="12"/>
        <v>0</v>
      </c>
      <c r="C175" s="1" t="s">
        <v>678</v>
      </c>
      <c r="D175" s="1" t="s">
        <v>257</v>
      </c>
      <c r="E175" s="3" t="s">
        <v>679</v>
      </c>
      <c r="F175" s="3" t="s">
        <v>648</v>
      </c>
      <c r="G175" s="1" t="s">
        <v>405</v>
      </c>
      <c r="H175" s="6">
        <f>COUNTIF(ValidTeams[],E175)</f>
        <v>0</v>
      </c>
    </row>
    <row r="176" spans="1:8" x14ac:dyDescent="0.25">
      <c r="A176" s="1">
        <v>7</v>
      </c>
      <c r="B176">
        <f t="shared" si="12"/>
        <v>0</v>
      </c>
      <c r="C176" s="1"/>
      <c r="D176" s="1"/>
      <c r="E176" s="3"/>
      <c r="F176" s="3"/>
      <c r="G176" s="1" t="s">
        <v>405</v>
      </c>
      <c r="H176" s="6">
        <f>COUNTIF(ValidTeams[],E176)</f>
        <v>0</v>
      </c>
    </row>
    <row r="177" spans="1:8" x14ac:dyDescent="0.25">
      <c r="F177" s="2"/>
    </row>
    <row r="178" spans="1:8" x14ac:dyDescent="0.25">
      <c r="A178" s="4" t="s">
        <v>0</v>
      </c>
      <c r="B178" s="4" t="s">
        <v>73</v>
      </c>
      <c r="C178" s="4" t="s">
        <v>1</v>
      </c>
      <c r="D178" s="4" t="s">
        <v>2</v>
      </c>
      <c r="E178" s="5" t="s">
        <v>3</v>
      </c>
      <c r="F178" s="5" t="s">
        <v>4</v>
      </c>
      <c r="G178" s="4" t="s">
        <v>5</v>
      </c>
      <c r="H178" s="4" t="s">
        <v>72</v>
      </c>
    </row>
    <row r="179" spans="1:8" x14ac:dyDescent="0.25">
      <c r="A179" s="1">
        <v>1</v>
      </c>
      <c r="B179">
        <f t="shared" ref="B179:B181" si="13">IF(H179=1,MAX(21-A179,0),0)</f>
        <v>20</v>
      </c>
      <c r="C179" s="1" t="s">
        <v>577</v>
      </c>
      <c r="D179" s="1" t="s">
        <v>680</v>
      </c>
      <c r="E179" s="3" t="s">
        <v>681</v>
      </c>
      <c r="F179" s="3" t="s">
        <v>682</v>
      </c>
      <c r="G179" s="1" t="s">
        <v>426</v>
      </c>
      <c r="H179" s="6">
        <f>COUNTIF(ValidTeams[],E179)</f>
        <v>1</v>
      </c>
    </row>
    <row r="180" spans="1:8" x14ac:dyDescent="0.25">
      <c r="A180" s="1">
        <v>2</v>
      </c>
      <c r="B180">
        <f t="shared" si="13"/>
        <v>19</v>
      </c>
      <c r="C180" s="1" t="s">
        <v>35</v>
      </c>
      <c r="D180" s="1" t="s">
        <v>424</v>
      </c>
      <c r="E180" s="3" t="s">
        <v>49</v>
      </c>
      <c r="F180" s="3" t="s">
        <v>683</v>
      </c>
      <c r="G180" s="1" t="s">
        <v>426</v>
      </c>
      <c r="H180" s="6">
        <f>COUNTIF(ValidTeams[],E180)</f>
        <v>1</v>
      </c>
    </row>
    <row r="181" spans="1:8" x14ac:dyDescent="0.25">
      <c r="A181" s="1">
        <v>3</v>
      </c>
      <c r="B181">
        <f t="shared" si="13"/>
        <v>18</v>
      </c>
      <c r="C181" s="1" t="s">
        <v>669</v>
      </c>
      <c r="D181" s="1" t="s">
        <v>684</v>
      </c>
      <c r="E181" s="3" t="s">
        <v>49</v>
      </c>
      <c r="F181" s="3" t="s">
        <v>685</v>
      </c>
      <c r="G181" s="1" t="s">
        <v>426</v>
      </c>
      <c r="H181" s="6">
        <f>COUNTIF(ValidTeams[],E181)</f>
        <v>1</v>
      </c>
    </row>
    <row r="182" spans="1:8" x14ac:dyDescent="0.25">
      <c r="A182" s="1">
        <v>4</v>
      </c>
      <c r="B182" s="1">
        <f>IF(H182=1,MAX(21-A182,0),0)</f>
        <v>17</v>
      </c>
      <c r="C182" s="1" t="s">
        <v>427</v>
      </c>
      <c r="D182" s="1" t="s">
        <v>428</v>
      </c>
      <c r="E182" s="3" t="s">
        <v>191</v>
      </c>
      <c r="F182" s="3" t="s">
        <v>686</v>
      </c>
      <c r="G182" s="1" t="s">
        <v>426</v>
      </c>
      <c r="H182" s="24">
        <f>COUNTIF(ValidTeams[],E182)</f>
        <v>1</v>
      </c>
    </row>
    <row r="183" spans="1:8" x14ac:dyDescent="0.25">
      <c r="A183" s="1">
        <v>5</v>
      </c>
      <c r="B183" s="1">
        <f>IF(H183=1,MAX(21-A183,0),0)</f>
        <v>16</v>
      </c>
      <c r="C183" s="1" t="s">
        <v>430</v>
      </c>
      <c r="D183" s="1" t="s">
        <v>431</v>
      </c>
      <c r="E183" s="3" t="s">
        <v>100</v>
      </c>
      <c r="F183" s="3" t="s">
        <v>687</v>
      </c>
      <c r="G183" s="1" t="s">
        <v>426</v>
      </c>
      <c r="H183" s="24">
        <f>COUNTIF(ValidTeams[],E183)</f>
        <v>1</v>
      </c>
    </row>
    <row r="184" spans="1:8" x14ac:dyDescent="0.25">
      <c r="F184" s="2"/>
    </row>
    <row r="185" spans="1:8" x14ac:dyDescent="0.25">
      <c r="F185" s="2"/>
    </row>
    <row r="186" spans="1:8" x14ac:dyDescent="0.25">
      <c r="F186" s="2"/>
    </row>
    <row r="187" spans="1:8" x14ac:dyDescent="0.25">
      <c r="F187" s="2"/>
    </row>
    <row r="188" spans="1:8" x14ac:dyDescent="0.25">
      <c r="F188" s="2"/>
    </row>
    <row r="189" spans="1:8" x14ac:dyDescent="0.25">
      <c r="F189" s="2"/>
    </row>
    <row r="190" spans="1:8" x14ac:dyDescent="0.25">
      <c r="F190" s="2"/>
    </row>
    <row r="191" spans="1:8" x14ac:dyDescent="0.25">
      <c r="F191" s="2"/>
    </row>
    <row r="192" spans="1:8" x14ac:dyDescent="0.25">
      <c r="F192" s="2"/>
    </row>
    <row r="193" spans="6:6" x14ac:dyDescent="0.25">
      <c r="F193" s="2"/>
    </row>
    <row r="194" spans="6:6" x14ac:dyDescent="0.25">
      <c r="F194" s="2"/>
    </row>
    <row r="195" spans="6:6" x14ac:dyDescent="0.25">
      <c r="F195" s="2"/>
    </row>
    <row r="196" spans="6:6" x14ac:dyDescent="0.25">
      <c r="F196" s="2"/>
    </row>
    <row r="197" spans="6:6" x14ac:dyDescent="0.25">
      <c r="F197" s="2"/>
    </row>
    <row r="198" spans="6:6" x14ac:dyDescent="0.25">
      <c r="F198" s="2"/>
    </row>
    <row r="199" spans="6:6" x14ac:dyDescent="0.25">
      <c r="F199" s="2"/>
    </row>
    <row r="200" spans="6:6" x14ac:dyDescent="0.25">
      <c r="F200" s="2"/>
    </row>
    <row r="201" spans="6:6" x14ac:dyDescent="0.25">
      <c r="F201" s="2"/>
    </row>
    <row r="202" spans="6:6" x14ac:dyDescent="0.25">
      <c r="F202" s="2"/>
    </row>
    <row r="203" spans="6:6" x14ac:dyDescent="0.25">
      <c r="F203" s="2"/>
    </row>
    <row r="204" spans="6:6" x14ac:dyDescent="0.25">
      <c r="F204" s="2"/>
    </row>
    <row r="205" spans="6:6" x14ac:dyDescent="0.25">
      <c r="F205" s="2"/>
    </row>
    <row r="206" spans="6:6" x14ac:dyDescent="0.25">
      <c r="F206" s="2"/>
    </row>
    <row r="207" spans="6:6" x14ac:dyDescent="0.25">
      <c r="F207" s="2"/>
    </row>
    <row r="208" spans="6:6" x14ac:dyDescent="0.25">
      <c r="F208" s="2"/>
    </row>
    <row r="209" spans="6:6" x14ac:dyDescent="0.25">
      <c r="F209" s="2"/>
    </row>
    <row r="210" spans="6:6" x14ac:dyDescent="0.25">
      <c r="F210" s="2"/>
    </row>
    <row r="211" spans="6:6" x14ac:dyDescent="0.25">
      <c r="F211" s="2"/>
    </row>
    <row r="212" spans="6:6" x14ac:dyDescent="0.25">
      <c r="F212" s="2"/>
    </row>
    <row r="213" spans="6:6" x14ac:dyDescent="0.25">
      <c r="F213" s="2"/>
    </row>
    <row r="214" spans="6:6" x14ac:dyDescent="0.25">
      <c r="F214" s="2"/>
    </row>
    <row r="215" spans="6:6" x14ac:dyDescent="0.25">
      <c r="F215" s="2"/>
    </row>
    <row r="216" spans="6:6" x14ac:dyDescent="0.25">
      <c r="F216" s="2"/>
    </row>
    <row r="217" spans="6:6" x14ac:dyDescent="0.25">
      <c r="F217" s="2"/>
    </row>
    <row r="218" spans="6:6" x14ac:dyDescent="0.25">
      <c r="F218" s="2"/>
    </row>
    <row r="219" spans="6:6" x14ac:dyDescent="0.25">
      <c r="F219" s="2"/>
    </row>
    <row r="220" spans="6:6" x14ac:dyDescent="0.25">
      <c r="F220" s="2"/>
    </row>
    <row r="221" spans="6:6" x14ac:dyDescent="0.25">
      <c r="F221" s="2"/>
    </row>
    <row r="222" spans="6:6" x14ac:dyDescent="0.25">
      <c r="F222" s="2"/>
    </row>
    <row r="223" spans="6:6" x14ac:dyDescent="0.25">
      <c r="F223" s="2"/>
    </row>
    <row r="224" spans="6:6" x14ac:dyDescent="0.25">
      <c r="F224" s="2"/>
    </row>
    <row r="225" spans="6:6" x14ac:dyDescent="0.25">
      <c r="F225" s="2"/>
    </row>
    <row r="226" spans="6:6" x14ac:dyDescent="0.25">
      <c r="F226" s="2"/>
    </row>
    <row r="227" spans="6:6" x14ac:dyDescent="0.25">
      <c r="F227" s="2"/>
    </row>
    <row r="228" spans="6:6" x14ac:dyDescent="0.25">
      <c r="F228" s="2"/>
    </row>
    <row r="229" spans="6:6" x14ac:dyDescent="0.25">
      <c r="F229" s="2"/>
    </row>
    <row r="230" spans="6:6" x14ac:dyDescent="0.25">
      <c r="F230" s="2"/>
    </row>
    <row r="231" spans="6:6" x14ac:dyDescent="0.25">
      <c r="F231" s="2"/>
    </row>
    <row r="232" spans="6:6" x14ac:dyDescent="0.25">
      <c r="F232" s="2"/>
    </row>
    <row r="233" spans="6:6" x14ac:dyDescent="0.25">
      <c r="F233" s="2"/>
    </row>
    <row r="234" spans="6:6" x14ac:dyDescent="0.25">
      <c r="F234" s="2"/>
    </row>
    <row r="235" spans="6:6" x14ac:dyDescent="0.25">
      <c r="F235" s="2"/>
    </row>
    <row r="236" spans="6:6" x14ac:dyDescent="0.25">
      <c r="F236" s="2"/>
    </row>
    <row r="237" spans="6:6" x14ac:dyDescent="0.25">
      <c r="F237" s="2"/>
    </row>
    <row r="238" spans="6:6" x14ac:dyDescent="0.25">
      <c r="F238" s="2"/>
    </row>
    <row r="239" spans="6:6" x14ac:dyDescent="0.25">
      <c r="F239" s="2"/>
    </row>
    <row r="240" spans="6:6" x14ac:dyDescent="0.25">
      <c r="F240" s="2"/>
    </row>
    <row r="241" spans="6:6" x14ac:dyDescent="0.25">
      <c r="F241" s="2"/>
    </row>
    <row r="242" spans="6:6" x14ac:dyDescent="0.25">
      <c r="F242" s="2"/>
    </row>
    <row r="243" spans="6:6" x14ac:dyDescent="0.25">
      <c r="F243" s="2"/>
    </row>
    <row r="244" spans="6:6" x14ac:dyDescent="0.25">
      <c r="F244" s="2"/>
    </row>
    <row r="245" spans="6:6" x14ac:dyDescent="0.25">
      <c r="F245" s="2"/>
    </row>
    <row r="246" spans="6:6" x14ac:dyDescent="0.25">
      <c r="F246" s="2"/>
    </row>
    <row r="247" spans="6:6" x14ac:dyDescent="0.25">
      <c r="F247" s="2"/>
    </row>
    <row r="248" spans="6:6" x14ac:dyDescent="0.25">
      <c r="F248" s="2"/>
    </row>
    <row r="249" spans="6:6" x14ac:dyDescent="0.25">
      <c r="F249" s="2"/>
    </row>
    <row r="250" spans="6:6" x14ac:dyDescent="0.25">
      <c r="F250" s="2"/>
    </row>
    <row r="251" spans="6:6" x14ac:dyDescent="0.25">
      <c r="F251" s="2"/>
    </row>
    <row r="252" spans="6:6" x14ac:dyDescent="0.25">
      <c r="F252" s="2"/>
    </row>
    <row r="253" spans="6:6" x14ac:dyDescent="0.25">
      <c r="F253" s="2"/>
    </row>
    <row r="254" spans="6:6" x14ac:dyDescent="0.25">
      <c r="F254" s="2"/>
    </row>
    <row r="255" spans="6:6" x14ac:dyDescent="0.25">
      <c r="F255" s="2"/>
    </row>
    <row r="256" spans="6:6" x14ac:dyDescent="0.25">
      <c r="F256" s="2"/>
    </row>
    <row r="257" spans="6:6" x14ac:dyDescent="0.25">
      <c r="F257" s="2"/>
    </row>
    <row r="258" spans="6:6" x14ac:dyDescent="0.25">
      <c r="F258" s="2"/>
    </row>
    <row r="259" spans="6:6" x14ac:dyDescent="0.25">
      <c r="F259" s="2"/>
    </row>
    <row r="260" spans="6:6" x14ac:dyDescent="0.25">
      <c r="F260" s="2"/>
    </row>
    <row r="261" spans="6:6" x14ac:dyDescent="0.25">
      <c r="F261" s="2"/>
    </row>
    <row r="262" spans="6:6" x14ac:dyDescent="0.25">
      <c r="F262" s="2"/>
    </row>
    <row r="263" spans="6:6" x14ac:dyDescent="0.25">
      <c r="F263" s="2"/>
    </row>
    <row r="264" spans="6:6" x14ac:dyDescent="0.25">
      <c r="F264" s="2"/>
    </row>
    <row r="265" spans="6:6" x14ac:dyDescent="0.25">
      <c r="F265" s="2"/>
    </row>
    <row r="266" spans="6:6" x14ac:dyDescent="0.25">
      <c r="F266" s="2"/>
    </row>
    <row r="267" spans="6:6" x14ac:dyDescent="0.25">
      <c r="F267" s="2"/>
    </row>
    <row r="268" spans="6:6" x14ac:dyDescent="0.25">
      <c r="F268" s="2"/>
    </row>
  </sheetData>
  <conditionalFormatting sqref="E22:E31 E63:E67 E70:E75 E78:E90 E93:E101 E104:E109 E112:E133 E136:E145 E148:E161 E170:E176 E179:E183 E2:E20 E164:E168">
    <cfRule type="expression" dxfId="1632" priority="2">
      <formula>"COUNTIF(K3:K47,E4)&lt;1"</formula>
    </cfRule>
  </conditionalFormatting>
  <conditionalFormatting sqref="H1586:H1048576 H178:H183 H147:H161 H135:H145 H111:H133 H103:H109 H92:H101 H77:H90 H69:H75 H62:H67 H1:H31 H163:H176">
    <cfRule type="cellIs" dxfId="1631" priority="1" operator="lessThan">
      <formula>1</formula>
    </cfRule>
  </conditionalFormatting>
  <pageMargins left="0.7" right="0.7" top="0.75" bottom="0.75" header="0.3" footer="0.3"/>
  <pageSetup scale="89" fitToHeight="0" orientation="landscape" horizontalDpi="4294967293" r:id="rId1"/>
  <tableParts count="1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38B47-047F-491E-B741-97F0C8DAE23E}">
  <sheetPr codeName="Sheet6">
    <pageSetUpPr fitToPage="1"/>
  </sheetPr>
  <dimension ref="A1:H303"/>
  <sheetViews>
    <sheetView topLeftCell="A72" zoomScale="115" zoomScaleNormal="115" workbookViewId="0">
      <selection activeCell="E96" sqref="E96"/>
    </sheetView>
  </sheetViews>
  <sheetFormatPr defaultRowHeight="15" x14ac:dyDescent="0.25"/>
  <cols>
    <col min="2" max="2" width="17" customWidth="1"/>
    <col min="3" max="3" width="14.85546875" customWidth="1"/>
    <col min="4" max="4" width="12.28515625" customWidth="1"/>
    <col min="5" max="5" width="37.5703125" style="2" customWidth="1"/>
    <col min="6" max="6" width="15.140625" style="30" customWidth="1"/>
    <col min="7" max="7" width="21.140625" customWidth="1"/>
    <col min="10" max="10" width="12.7109375" customWidth="1"/>
    <col min="11" max="11" width="42.7109375" bestFit="1" customWidth="1"/>
    <col min="14" max="14" width="8.42578125" bestFit="1" customWidth="1"/>
  </cols>
  <sheetData>
    <row r="1" spans="1:8" x14ac:dyDescent="0.25">
      <c r="A1" t="s">
        <v>0</v>
      </c>
      <c r="B1" t="s">
        <v>73</v>
      </c>
      <c r="C1" t="s">
        <v>1</v>
      </c>
      <c r="D1" t="s">
        <v>2</v>
      </c>
      <c r="E1" t="s">
        <v>3</v>
      </c>
      <c r="F1" s="29" t="s">
        <v>4</v>
      </c>
      <c r="G1" t="s">
        <v>5</v>
      </c>
      <c r="H1" t="s">
        <v>458</v>
      </c>
    </row>
    <row r="2" spans="1:8" x14ac:dyDescent="0.25">
      <c r="A2">
        <v>1</v>
      </c>
      <c r="B2">
        <f t="shared" ref="B2:B20" si="0">IF(H2=1,MAX(21-A2,0),0)</f>
        <v>0</v>
      </c>
      <c r="C2" t="s">
        <v>27</v>
      </c>
      <c r="D2" t="s">
        <v>693</v>
      </c>
      <c r="E2"/>
      <c r="F2" s="29" t="s">
        <v>694</v>
      </c>
      <c r="G2" t="s">
        <v>9</v>
      </c>
      <c r="H2">
        <f>COUNTIF(ValidTeams[],E2)</f>
        <v>0</v>
      </c>
    </row>
    <row r="3" spans="1:8" x14ac:dyDescent="0.25">
      <c r="A3">
        <v>2</v>
      </c>
      <c r="B3">
        <f t="shared" si="0"/>
        <v>0</v>
      </c>
      <c r="C3" t="s">
        <v>695</v>
      </c>
      <c r="D3" t="s">
        <v>696</v>
      </c>
      <c r="E3" t="s">
        <v>697</v>
      </c>
      <c r="F3" s="29" t="s">
        <v>698</v>
      </c>
      <c r="G3" t="s">
        <v>9</v>
      </c>
      <c r="H3">
        <f>COUNTIF(ValidTeams[],E3)</f>
        <v>0</v>
      </c>
    </row>
    <row r="4" spans="1:8" x14ac:dyDescent="0.25">
      <c r="A4">
        <v>3</v>
      </c>
      <c r="B4">
        <f t="shared" si="0"/>
        <v>18</v>
      </c>
      <c r="C4" t="s">
        <v>10</v>
      </c>
      <c r="D4" t="s">
        <v>11</v>
      </c>
      <c r="E4" t="s">
        <v>12</v>
      </c>
      <c r="F4" s="29" t="s">
        <v>699</v>
      </c>
      <c r="G4" t="s">
        <v>9</v>
      </c>
      <c r="H4">
        <f>COUNTIF(ValidTeams[],E4)</f>
        <v>1</v>
      </c>
    </row>
    <row r="5" spans="1:8" x14ac:dyDescent="0.25">
      <c r="A5">
        <v>4</v>
      </c>
      <c r="B5">
        <f t="shared" si="0"/>
        <v>17</v>
      </c>
      <c r="C5" t="s">
        <v>6</v>
      </c>
      <c r="D5" t="s">
        <v>516</v>
      </c>
      <c r="E5" t="s">
        <v>8</v>
      </c>
      <c r="F5" s="29" t="s">
        <v>700</v>
      </c>
      <c r="G5" t="s">
        <v>9</v>
      </c>
      <c r="H5">
        <f>COUNTIF(ValidTeams[],E5)</f>
        <v>1</v>
      </c>
    </row>
    <row r="6" spans="1:8" x14ac:dyDescent="0.25">
      <c r="A6">
        <v>5</v>
      </c>
      <c r="B6">
        <f t="shared" si="0"/>
        <v>16</v>
      </c>
      <c r="C6" t="s">
        <v>513</v>
      </c>
      <c r="D6" t="s">
        <v>30</v>
      </c>
      <c r="E6" t="s">
        <v>442</v>
      </c>
      <c r="F6" s="29" t="s">
        <v>701</v>
      </c>
      <c r="G6" t="s">
        <v>9</v>
      </c>
      <c r="H6">
        <f>COUNTIF(ValidTeams[],E6)</f>
        <v>1</v>
      </c>
    </row>
    <row r="7" spans="1:8" x14ac:dyDescent="0.25">
      <c r="A7">
        <v>6</v>
      </c>
      <c r="B7">
        <f t="shared" si="0"/>
        <v>15</v>
      </c>
      <c r="C7" t="s">
        <v>13</v>
      </c>
      <c r="D7" t="s">
        <v>14</v>
      </c>
      <c r="E7" t="s">
        <v>15</v>
      </c>
      <c r="F7" s="29" t="s">
        <v>702</v>
      </c>
      <c r="G7" t="s">
        <v>9</v>
      </c>
      <c r="H7">
        <f>COUNTIF(ValidTeams[],E7)</f>
        <v>1</v>
      </c>
    </row>
    <row r="8" spans="1:8" x14ac:dyDescent="0.25">
      <c r="A8">
        <v>7</v>
      </c>
      <c r="B8">
        <f t="shared" si="0"/>
        <v>0</v>
      </c>
      <c r="C8" t="s">
        <v>703</v>
      </c>
      <c r="D8" t="s">
        <v>310</v>
      </c>
      <c r="E8" t="s">
        <v>706</v>
      </c>
      <c r="F8" s="29" t="s">
        <v>704</v>
      </c>
      <c r="G8" t="s">
        <v>9</v>
      </c>
      <c r="H8">
        <f>COUNTIF(ValidTeams[],E8)</f>
        <v>0</v>
      </c>
    </row>
    <row r="9" spans="1:8" x14ac:dyDescent="0.25">
      <c r="A9">
        <v>8</v>
      </c>
      <c r="B9">
        <f t="shared" si="0"/>
        <v>0</v>
      </c>
      <c r="C9" t="s">
        <v>705</v>
      </c>
      <c r="D9" t="s">
        <v>11</v>
      </c>
      <c r="E9" t="s">
        <v>707</v>
      </c>
      <c r="F9" s="29" t="s">
        <v>708</v>
      </c>
      <c r="G9" t="s">
        <v>9</v>
      </c>
      <c r="H9">
        <f>COUNTIF(ValidTeams[],E9)</f>
        <v>0</v>
      </c>
    </row>
    <row r="10" spans="1:8" x14ac:dyDescent="0.25">
      <c r="A10">
        <v>9</v>
      </c>
      <c r="B10">
        <f t="shared" si="0"/>
        <v>0</v>
      </c>
      <c r="C10" t="s">
        <v>709</v>
      </c>
      <c r="D10" t="s">
        <v>524</v>
      </c>
      <c r="E10" t="s">
        <v>710</v>
      </c>
      <c r="F10" s="29" t="s">
        <v>711</v>
      </c>
      <c r="G10" t="s">
        <v>9</v>
      </c>
      <c r="H10">
        <f>COUNTIF(ValidTeams[],E10)</f>
        <v>0</v>
      </c>
    </row>
    <row r="11" spans="1:8" x14ac:dyDescent="0.25">
      <c r="A11">
        <v>10</v>
      </c>
      <c r="B11">
        <f t="shared" si="0"/>
        <v>11</v>
      </c>
      <c r="C11" t="s">
        <v>16</v>
      </c>
      <c r="D11" t="s">
        <v>17</v>
      </c>
      <c r="E11" t="s">
        <v>18</v>
      </c>
      <c r="F11" s="29" t="s">
        <v>712</v>
      </c>
      <c r="G11" t="s">
        <v>9</v>
      </c>
      <c r="H11">
        <f>COUNTIF(ValidTeams[],E11)</f>
        <v>1</v>
      </c>
    </row>
    <row r="12" spans="1:8" x14ac:dyDescent="0.25">
      <c r="A12">
        <v>11</v>
      </c>
      <c r="B12">
        <f t="shared" si="0"/>
        <v>0</v>
      </c>
      <c r="C12" t="s">
        <v>713</v>
      </c>
      <c r="D12" t="s">
        <v>714</v>
      </c>
      <c r="E12" t="s">
        <v>241</v>
      </c>
      <c r="F12" s="29" t="s">
        <v>715</v>
      </c>
      <c r="G12" t="s">
        <v>9</v>
      </c>
      <c r="H12">
        <f>COUNTIF(ValidTeams[],E12)</f>
        <v>0</v>
      </c>
    </row>
    <row r="13" spans="1:8" x14ac:dyDescent="0.25">
      <c r="A13">
        <v>12</v>
      </c>
      <c r="B13" s="23">
        <f t="shared" si="0"/>
        <v>0</v>
      </c>
      <c r="C13" t="s">
        <v>716</v>
      </c>
      <c r="D13" t="s">
        <v>717</v>
      </c>
      <c r="F13" s="29" t="s">
        <v>718</v>
      </c>
      <c r="G13" t="s">
        <v>9</v>
      </c>
      <c r="H13" s="23">
        <f>COUNTIF(ValidTeams[],E13)</f>
        <v>0</v>
      </c>
    </row>
    <row r="14" spans="1:8" x14ac:dyDescent="0.25">
      <c r="A14">
        <v>13</v>
      </c>
      <c r="B14" s="23">
        <f t="shared" si="0"/>
        <v>8</v>
      </c>
      <c r="C14" t="s">
        <v>719</v>
      </c>
      <c r="D14" t="s">
        <v>720</v>
      </c>
      <c r="E14" s="2" t="s">
        <v>31</v>
      </c>
      <c r="F14" s="29" t="s">
        <v>721</v>
      </c>
      <c r="G14" t="s">
        <v>9</v>
      </c>
      <c r="H14" s="23">
        <f>COUNTIF(ValidTeams[],E14)</f>
        <v>1</v>
      </c>
    </row>
    <row r="15" spans="1:8" x14ac:dyDescent="0.25">
      <c r="A15">
        <v>14</v>
      </c>
      <c r="B15" s="23">
        <f t="shared" si="0"/>
        <v>0</v>
      </c>
      <c r="C15" t="s">
        <v>722</v>
      </c>
      <c r="D15" t="s">
        <v>186</v>
      </c>
      <c r="F15" s="29" t="s">
        <v>723</v>
      </c>
      <c r="G15" t="s">
        <v>9</v>
      </c>
      <c r="H15" s="23">
        <f>COUNTIF(ValidTeams[],E15)</f>
        <v>0</v>
      </c>
    </row>
    <row r="16" spans="1:8" x14ac:dyDescent="0.25">
      <c r="A16">
        <v>15</v>
      </c>
      <c r="B16" s="23">
        <f t="shared" si="0"/>
        <v>0</v>
      </c>
      <c r="C16" t="s">
        <v>724</v>
      </c>
      <c r="D16" t="s">
        <v>17</v>
      </c>
      <c r="F16" s="29" t="s">
        <v>725</v>
      </c>
      <c r="G16" t="s">
        <v>9</v>
      </c>
      <c r="H16" s="23">
        <f>COUNTIF(ValidTeams[],E16)</f>
        <v>0</v>
      </c>
    </row>
    <row r="17" spans="1:8" x14ac:dyDescent="0.25">
      <c r="A17">
        <v>16</v>
      </c>
      <c r="B17" s="23">
        <f t="shared" si="0"/>
        <v>0</v>
      </c>
      <c r="C17" t="s">
        <v>532</v>
      </c>
      <c r="D17" t="s">
        <v>233</v>
      </c>
      <c r="E17" s="2" t="s">
        <v>726</v>
      </c>
      <c r="F17" s="29" t="s">
        <v>727</v>
      </c>
      <c r="G17" t="s">
        <v>9</v>
      </c>
      <c r="H17" s="23">
        <f>COUNTIF(ValidTeams[],E17)</f>
        <v>0</v>
      </c>
    </row>
    <row r="18" spans="1:8" x14ac:dyDescent="0.25">
      <c r="A18">
        <v>17</v>
      </c>
      <c r="B18" s="23">
        <f t="shared" si="0"/>
        <v>4</v>
      </c>
      <c r="C18" t="s">
        <v>728</v>
      </c>
      <c r="D18" t="s">
        <v>730</v>
      </c>
      <c r="E18" s="2" t="s">
        <v>31</v>
      </c>
      <c r="F18" s="29" t="s">
        <v>729</v>
      </c>
      <c r="G18" t="s">
        <v>9</v>
      </c>
      <c r="H18" s="23">
        <f>COUNTIF(ValidTeams[],E18)</f>
        <v>1</v>
      </c>
    </row>
    <row r="19" spans="1:8" x14ac:dyDescent="0.25">
      <c r="A19">
        <v>18</v>
      </c>
      <c r="B19" s="23">
        <f t="shared" si="0"/>
        <v>3</v>
      </c>
      <c r="C19" t="s">
        <v>26</v>
      </c>
      <c r="D19" t="s">
        <v>27</v>
      </c>
      <c r="E19" s="2" t="s">
        <v>88</v>
      </c>
      <c r="F19" s="29" t="s">
        <v>731</v>
      </c>
      <c r="G19" t="s">
        <v>9</v>
      </c>
      <c r="H19" s="23">
        <f>COUNTIF(ValidTeams[],E19)</f>
        <v>1</v>
      </c>
    </row>
    <row r="20" spans="1:8" x14ac:dyDescent="0.25">
      <c r="A20">
        <v>19</v>
      </c>
      <c r="B20" s="23">
        <f t="shared" si="0"/>
        <v>2</v>
      </c>
      <c r="C20" t="s">
        <v>732</v>
      </c>
      <c r="D20" t="s">
        <v>733</v>
      </c>
      <c r="E20" s="2" t="s">
        <v>100</v>
      </c>
      <c r="F20" s="29" t="s">
        <v>734</v>
      </c>
      <c r="G20" t="s">
        <v>9</v>
      </c>
      <c r="H20" s="23">
        <f>COUNTIF(ValidTeams[],E20)</f>
        <v>1</v>
      </c>
    </row>
    <row r="21" spans="1:8" x14ac:dyDescent="0.25">
      <c r="A21">
        <v>20</v>
      </c>
      <c r="B21" s="23">
        <f>IF(H21=1,MAX(21-A21,0),0)</f>
        <v>1</v>
      </c>
      <c r="C21" t="s">
        <v>22</v>
      </c>
      <c r="D21" t="s">
        <v>23</v>
      </c>
      <c r="E21" s="2" t="s">
        <v>88</v>
      </c>
      <c r="F21" s="29" t="s">
        <v>735</v>
      </c>
      <c r="G21" t="s">
        <v>9</v>
      </c>
      <c r="H21" s="23">
        <f>COUNTIF(ValidTeams[],E21)</f>
        <v>1</v>
      </c>
    </row>
    <row r="22" spans="1:8" x14ac:dyDescent="0.25">
      <c r="A22">
        <v>21</v>
      </c>
      <c r="B22" s="23">
        <f>IF(H22=1,MAX(21-A22,0),0)</f>
        <v>0</v>
      </c>
      <c r="C22" t="s">
        <v>29</v>
      </c>
      <c r="D22" t="s">
        <v>30</v>
      </c>
      <c r="E22" s="2" t="s">
        <v>31</v>
      </c>
      <c r="F22" s="29" t="s">
        <v>736</v>
      </c>
      <c r="G22" t="s">
        <v>9</v>
      </c>
      <c r="H22" s="23">
        <f>COUNTIF(ValidTeams[],E22)</f>
        <v>1</v>
      </c>
    </row>
    <row r="23" spans="1:8" x14ac:dyDescent="0.25">
      <c r="A23">
        <v>22</v>
      </c>
      <c r="B23" s="23">
        <f>IF(H23=1,MAX(21-A23,0),0)</f>
        <v>0</v>
      </c>
      <c r="C23" t="s">
        <v>32</v>
      </c>
      <c r="D23" t="s">
        <v>33</v>
      </c>
      <c r="E23" s="2" t="s">
        <v>34</v>
      </c>
      <c r="F23" s="29" t="s">
        <v>737</v>
      </c>
      <c r="G23" t="s">
        <v>9</v>
      </c>
      <c r="H23" s="23">
        <f>COUNTIF(ValidTeams[],E23)</f>
        <v>1</v>
      </c>
    </row>
    <row r="24" spans="1:8" x14ac:dyDescent="0.25">
      <c r="B24" s="23"/>
      <c r="F24" s="29"/>
      <c r="H24" s="23"/>
    </row>
    <row r="25" spans="1:8" x14ac:dyDescent="0.25">
      <c r="A25" t="s">
        <v>0</v>
      </c>
      <c r="B25" t="s">
        <v>73</v>
      </c>
      <c r="C25" t="s">
        <v>1</v>
      </c>
      <c r="D25" t="s">
        <v>2</v>
      </c>
      <c r="E25" t="s">
        <v>3</v>
      </c>
      <c r="F25" s="29" t="s">
        <v>4</v>
      </c>
      <c r="G25" t="s">
        <v>5</v>
      </c>
      <c r="H25" t="s">
        <v>72</v>
      </c>
    </row>
    <row r="26" spans="1:8" x14ac:dyDescent="0.25">
      <c r="A26">
        <v>1</v>
      </c>
      <c r="B26">
        <f t="shared" ref="B26:B35" si="1">IF(H26=1,MAX(21-A26,0),0)</f>
        <v>20</v>
      </c>
      <c r="C26" t="s">
        <v>40</v>
      </c>
      <c r="D26" t="s">
        <v>41</v>
      </c>
      <c r="E26" t="s">
        <v>38</v>
      </c>
      <c r="F26" s="29" t="s">
        <v>738</v>
      </c>
      <c r="G26" t="s">
        <v>39</v>
      </c>
      <c r="H26">
        <f>COUNTIF(ValidTeams[],E26)</f>
        <v>1</v>
      </c>
    </row>
    <row r="27" spans="1:8" x14ac:dyDescent="0.25">
      <c r="A27">
        <v>2</v>
      </c>
      <c r="B27">
        <f t="shared" si="1"/>
        <v>19</v>
      </c>
      <c r="C27" t="s">
        <v>36</v>
      </c>
      <c r="D27" t="s">
        <v>37</v>
      </c>
      <c r="E27" t="s">
        <v>38</v>
      </c>
      <c r="F27" s="29" t="s">
        <v>739</v>
      </c>
      <c r="G27" t="s">
        <v>39</v>
      </c>
      <c r="H27">
        <f>COUNTIF(ValidTeams[],E27)</f>
        <v>1</v>
      </c>
    </row>
    <row r="28" spans="1:8" x14ac:dyDescent="0.25">
      <c r="A28">
        <v>3</v>
      </c>
      <c r="B28">
        <f t="shared" si="1"/>
        <v>0</v>
      </c>
      <c r="C28" t="s">
        <v>705</v>
      </c>
      <c r="D28" t="s">
        <v>431</v>
      </c>
      <c r="E28" t="s">
        <v>707</v>
      </c>
      <c r="F28" s="29" t="s">
        <v>740</v>
      </c>
      <c r="G28" t="s">
        <v>39</v>
      </c>
      <c r="H28">
        <f>COUNTIF(ValidTeams[],E28)</f>
        <v>0</v>
      </c>
    </row>
    <row r="29" spans="1:8" x14ac:dyDescent="0.25">
      <c r="A29">
        <v>4</v>
      </c>
      <c r="B29">
        <f t="shared" si="1"/>
        <v>17</v>
      </c>
      <c r="C29" t="s">
        <v>741</v>
      </c>
      <c r="D29" t="s">
        <v>742</v>
      </c>
      <c r="E29" t="s">
        <v>49</v>
      </c>
      <c r="F29" s="29" t="s">
        <v>743</v>
      </c>
      <c r="G29" t="s">
        <v>39</v>
      </c>
      <c r="H29">
        <f>COUNTIF(ValidTeams[],E29)</f>
        <v>1</v>
      </c>
    </row>
    <row r="30" spans="1:8" x14ac:dyDescent="0.25">
      <c r="A30">
        <v>5</v>
      </c>
      <c r="B30">
        <f t="shared" si="1"/>
        <v>0</v>
      </c>
      <c r="C30" t="s">
        <v>744</v>
      </c>
      <c r="D30" t="s">
        <v>339</v>
      </c>
      <c r="E30" t="s">
        <v>745</v>
      </c>
      <c r="F30" s="29" t="s">
        <v>746</v>
      </c>
      <c r="G30" t="s">
        <v>39</v>
      </c>
      <c r="H30">
        <f>COUNTIF(ValidTeams[],E30)</f>
        <v>0</v>
      </c>
    </row>
    <row r="31" spans="1:8" x14ac:dyDescent="0.25">
      <c r="A31">
        <v>6</v>
      </c>
      <c r="B31">
        <f t="shared" si="1"/>
        <v>15</v>
      </c>
      <c r="C31" t="s">
        <v>748</v>
      </c>
      <c r="D31" t="s">
        <v>747</v>
      </c>
      <c r="E31" t="s">
        <v>49</v>
      </c>
      <c r="F31" s="29" t="s">
        <v>749</v>
      </c>
      <c r="G31" t="s">
        <v>39</v>
      </c>
      <c r="H31">
        <f>COUNTIF(ValidTeams[],E31)</f>
        <v>1</v>
      </c>
    </row>
    <row r="32" spans="1:8" x14ac:dyDescent="0.25">
      <c r="A32">
        <v>7</v>
      </c>
      <c r="B32">
        <f t="shared" si="1"/>
        <v>14</v>
      </c>
      <c r="C32" t="s">
        <v>556</v>
      </c>
      <c r="D32" t="s">
        <v>557</v>
      </c>
      <c r="E32" t="s">
        <v>8</v>
      </c>
      <c r="F32" s="28">
        <v>1.563888888888889E-2</v>
      </c>
      <c r="G32" t="s">
        <v>39</v>
      </c>
      <c r="H32">
        <f>COUNTIF(ValidTeams[],E32)</f>
        <v>1</v>
      </c>
    </row>
    <row r="33" spans="1:8" x14ac:dyDescent="0.25">
      <c r="A33">
        <v>8</v>
      </c>
      <c r="B33">
        <f t="shared" si="1"/>
        <v>13</v>
      </c>
      <c r="C33" t="s">
        <v>66</v>
      </c>
      <c r="D33" t="s">
        <v>67</v>
      </c>
      <c r="E33" t="s">
        <v>442</v>
      </c>
      <c r="F33" s="28">
        <v>1.5681712962962963E-2</v>
      </c>
      <c r="G33" t="s">
        <v>39</v>
      </c>
      <c r="H33">
        <f>COUNTIF(ValidTeams[],E33)</f>
        <v>1</v>
      </c>
    </row>
    <row r="34" spans="1:8" x14ac:dyDescent="0.25">
      <c r="A34">
        <v>9</v>
      </c>
      <c r="B34">
        <f t="shared" si="1"/>
        <v>12</v>
      </c>
      <c r="C34" t="s">
        <v>32</v>
      </c>
      <c r="D34" t="s">
        <v>48</v>
      </c>
      <c r="E34" t="s">
        <v>49</v>
      </c>
      <c r="F34" s="28">
        <v>1.5776620370370371E-2</v>
      </c>
      <c r="G34" t="s">
        <v>39</v>
      </c>
      <c r="H34">
        <f>COUNTIF(ValidTeams[],E34)</f>
        <v>1</v>
      </c>
    </row>
    <row r="35" spans="1:8" x14ac:dyDescent="0.25">
      <c r="A35">
        <v>10</v>
      </c>
      <c r="B35">
        <f t="shared" si="1"/>
        <v>11</v>
      </c>
      <c r="C35" t="s">
        <v>750</v>
      </c>
      <c r="D35" t="s">
        <v>751</v>
      </c>
      <c r="E35" t="s">
        <v>31</v>
      </c>
      <c r="F35" s="28">
        <v>1.6427083333333335E-2</v>
      </c>
      <c r="G35" t="s">
        <v>39</v>
      </c>
      <c r="H35">
        <f>COUNTIF(ValidTeams[],E35)</f>
        <v>1</v>
      </c>
    </row>
    <row r="36" spans="1:8" x14ac:dyDescent="0.25">
      <c r="A36">
        <v>11</v>
      </c>
      <c r="B36" s="23">
        <f>IF(H36=1,MAX(21-A36,0),0)</f>
        <v>10</v>
      </c>
      <c r="C36" t="s">
        <v>752</v>
      </c>
      <c r="D36" t="s">
        <v>753</v>
      </c>
      <c r="E36" s="2" t="s">
        <v>49</v>
      </c>
      <c r="F36" s="29" t="s">
        <v>754</v>
      </c>
      <c r="G36" t="s">
        <v>39</v>
      </c>
      <c r="H36" s="23">
        <f>COUNTIF(ValidTeams[],E36)</f>
        <v>1</v>
      </c>
    </row>
    <row r="37" spans="1:8" x14ac:dyDescent="0.25">
      <c r="A37">
        <v>12</v>
      </c>
      <c r="B37" s="23">
        <f>IF(H37=1,MAX(21-A37,0),0)</f>
        <v>0</v>
      </c>
      <c r="C37" t="s">
        <v>755</v>
      </c>
      <c r="D37" t="s">
        <v>756</v>
      </c>
      <c r="F37" s="29" t="s">
        <v>757</v>
      </c>
      <c r="G37" t="s">
        <v>39</v>
      </c>
      <c r="H37" s="23">
        <f>COUNTIF(ValidTeams[],E37)</f>
        <v>0</v>
      </c>
    </row>
    <row r="38" spans="1:8" x14ac:dyDescent="0.25">
      <c r="B38" s="23"/>
      <c r="F38" s="29"/>
      <c r="H38" s="23"/>
    </row>
    <row r="39" spans="1:8" x14ac:dyDescent="0.25">
      <c r="A39" t="s">
        <v>0</v>
      </c>
      <c r="B39" t="s">
        <v>73</v>
      </c>
      <c r="C39" t="s">
        <v>1</v>
      </c>
      <c r="D39" t="s">
        <v>2</v>
      </c>
      <c r="E39" s="2" t="s">
        <v>3</v>
      </c>
      <c r="F39" s="30" t="s">
        <v>4</v>
      </c>
      <c r="G39" t="s">
        <v>5</v>
      </c>
    </row>
    <row r="40" spans="1:8" x14ac:dyDescent="0.25">
      <c r="A40">
        <v>1</v>
      </c>
      <c r="B40">
        <v>20</v>
      </c>
      <c r="C40" t="s">
        <v>93</v>
      </c>
      <c r="D40" t="s">
        <v>92</v>
      </c>
      <c r="E40" s="2" t="s">
        <v>91</v>
      </c>
      <c r="F40" s="29" t="s">
        <v>758</v>
      </c>
      <c r="G40" t="s">
        <v>86</v>
      </c>
    </row>
    <row r="41" spans="1:8" x14ac:dyDescent="0.25">
      <c r="A41">
        <v>2</v>
      </c>
      <c r="B41">
        <v>19</v>
      </c>
      <c r="C41" t="s">
        <v>22</v>
      </c>
      <c r="D41" t="s">
        <v>87</v>
      </c>
      <c r="E41" s="2" t="s">
        <v>88</v>
      </c>
      <c r="F41" s="29" t="s">
        <v>759</v>
      </c>
      <c r="G41" t="s">
        <v>86</v>
      </c>
    </row>
    <row r="42" spans="1:8" x14ac:dyDescent="0.25">
      <c r="A42">
        <v>3</v>
      </c>
      <c r="B42">
        <v>18</v>
      </c>
      <c r="C42" t="s">
        <v>89</v>
      </c>
      <c r="D42" t="s">
        <v>90</v>
      </c>
      <c r="E42" s="2" t="s">
        <v>91</v>
      </c>
      <c r="F42" s="29" t="s">
        <v>760</v>
      </c>
      <c r="G42" t="s">
        <v>86</v>
      </c>
    </row>
    <row r="43" spans="1:8" x14ac:dyDescent="0.25">
      <c r="A43">
        <v>4</v>
      </c>
      <c r="B43">
        <v>17</v>
      </c>
      <c r="C43" t="s">
        <v>94</v>
      </c>
      <c r="D43" t="s">
        <v>95</v>
      </c>
      <c r="E43" s="2" t="s">
        <v>91</v>
      </c>
      <c r="F43" s="29" t="s">
        <v>761</v>
      </c>
      <c r="G43" t="s">
        <v>86</v>
      </c>
    </row>
    <row r="44" spans="1:8" x14ac:dyDescent="0.25">
      <c r="A44">
        <v>5</v>
      </c>
      <c r="B44">
        <v>0</v>
      </c>
      <c r="F44" s="29"/>
      <c r="G44" t="s">
        <v>86</v>
      </c>
    </row>
    <row r="45" spans="1:8" x14ac:dyDescent="0.25">
      <c r="A45">
        <v>6</v>
      </c>
      <c r="B45">
        <v>0</v>
      </c>
      <c r="F45" s="29"/>
      <c r="G45" t="s">
        <v>86</v>
      </c>
    </row>
    <row r="46" spans="1:8" x14ac:dyDescent="0.25">
      <c r="F46" s="29"/>
    </row>
    <row r="47" spans="1:8" x14ac:dyDescent="0.25">
      <c r="A47" s="4" t="s">
        <v>0</v>
      </c>
      <c r="B47" s="4" t="s">
        <v>73</v>
      </c>
      <c r="C47" s="4" t="s">
        <v>1</v>
      </c>
      <c r="D47" s="4" t="s">
        <v>2</v>
      </c>
      <c r="E47" s="5" t="s">
        <v>3</v>
      </c>
      <c r="F47" s="31" t="s">
        <v>4</v>
      </c>
      <c r="G47" s="4" t="s">
        <v>5</v>
      </c>
    </row>
    <row r="48" spans="1:8" x14ac:dyDescent="0.25">
      <c r="A48" s="1">
        <v>1</v>
      </c>
      <c r="B48" s="1">
        <v>20</v>
      </c>
      <c r="C48" s="1" t="s">
        <v>762</v>
      </c>
      <c r="D48" s="1" t="s">
        <v>763</v>
      </c>
      <c r="E48" s="3" t="s">
        <v>764</v>
      </c>
      <c r="F48" s="32" t="s">
        <v>765</v>
      </c>
      <c r="G48" s="1" t="s">
        <v>101</v>
      </c>
    </row>
    <row r="49" spans="1:7" x14ac:dyDescent="0.25">
      <c r="A49" s="1">
        <v>2</v>
      </c>
      <c r="B49" s="1">
        <v>19</v>
      </c>
      <c r="C49" s="1" t="s">
        <v>98</v>
      </c>
      <c r="D49" s="1" t="s">
        <v>99</v>
      </c>
      <c r="E49" s="3" t="s">
        <v>100</v>
      </c>
      <c r="F49" s="32" t="s">
        <v>766</v>
      </c>
      <c r="G49" s="1" t="s">
        <v>101</v>
      </c>
    </row>
    <row r="50" spans="1:7" x14ac:dyDescent="0.25">
      <c r="A50" s="1">
        <v>3</v>
      </c>
      <c r="B50" s="1">
        <v>18</v>
      </c>
      <c r="C50" s="1" t="s">
        <v>104</v>
      </c>
      <c r="D50" s="1" t="s">
        <v>105</v>
      </c>
      <c r="E50" s="3" t="s">
        <v>100</v>
      </c>
      <c r="F50" s="32" t="s">
        <v>767</v>
      </c>
      <c r="G50" s="1" t="s">
        <v>101</v>
      </c>
    </row>
    <row r="51" spans="1:7" x14ac:dyDescent="0.25">
      <c r="F51" s="29"/>
    </row>
    <row r="52" spans="1:7" x14ac:dyDescent="0.25">
      <c r="A52" s="4" t="s">
        <v>0</v>
      </c>
      <c r="B52" s="4" t="s">
        <v>73</v>
      </c>
      <c r="C52" s="4" t="s">
        <v>1</v>
      </c>
      <c r="D52" s="4" t="s">
        <v>2</v>
      </c>
      <c r="E52" s="5" t="s">
        <v>3</v>
      </c>
      <c r="F52" s="31" t="s">
        <v>4</v>
      </c>
      <c r="G52" s="4" t="s">
        <v>5</v>
      </c>
    </row>
    <row r="53" spans="1:7" x14ac:dyDescent="0.25">
      <c r="A53" s="1">
        <v>1</v>
      </c>
      <c r="B53" s="1">
        <v>20</v>
      </c>
      <c r="C53" s="1" t="s">
        <v>768</v>
      </c>
      <c r="D53" s="1" t="s">
        <v>769</v>
      </c>
      <c r="E53" s="3" t="s">
        <v>770</v>
      </c>
      <c r="F53" s="32" t="s">
        <v>771</v>
      </c>
      <c r="G53" s="1" t="s">
        <v>109</v>
      </c>
    </row>
    <row r="54" spans="1:7" x14ac:dyDescent="0.25">
      <c r="A54" s="1">
        <v>2</v>
      </c>
      <c r="B54" s="1">
        <v>19</v>
      </c>
      <c r="C54" s="1" t="s">
        <v>106</v>
      </c>
      <c r="D54" s="1" t="s">
        <v>107</v>
      </c>
      <c r="E54" s="3" t="s">
        <v>108</v>
      </c>
      <c r="F54" s="32" t="s">
        <v>772</v>
      </c>
      <c r="G54" s="1" t="s">
        <v>109</v>
      </c>
    </row>
    <row r="55" spans="1:7" x14ac:dyDescent="0.25">
      <c r="F55" s="29"/>
    </row>
    <row r="56" spans="1:7" x14ac:dyDescent="0.25">
      <c r="A56" s="4" t="s">
        <v>0</v>
      </c>
      <c r="B56" s="4" t="s">
        <v>73</v>
      </c>
      <c r="C56" s="4" t="s">
        <v>1</v>
      </c>
      <c r="D56" s="4" t="s">
        <v>2</v>
      </c>
      <c r="E56" s="5" t="s">
        <v>3</v>
      </c>
      <c r="F56" s="31" t="s">
        <v>4</v>
      </c>
      <c r="G56" s="4" t="s">
        <v>5</v>
      </c>
    </row>
    <row r="57" spans="1:7" x14ac:dyDescent="0.25">
      <c r="A57" s="1">
        <v>1</v>
      </c>
      <c r="B57" s="1">
        <v>20</v>
      </c>
      <c r="C57" s="1" t="s">
        <v>768</v>
      </c>
      <c r="D57" s="1" t="s">
        <v>116</v>
      </c>
      <c r="E57" s="3" t="s">
        <v>773</v>
      </c>
      <c r="F57" s="32" t="s">
        <v>774</v>
      </c>
      <c r="G57" s="1" t="s">
        <v>112</v>
      </c>
    </row>
    <row r="58" spans="1:7" x14ac:dyDescent="0.25">
      <c r="A58" s="1">
        <v>2</v>
      </c>
      <c r="B58" s="1">
        <v>19</v>
      </c>
      <c r="C58" s="1" t="s">
        <v>532</v>
      </c>
      <c r="D58" s="1" t="s">
        <v>233</v>
      </c>
      <c r="E58" s="3" t="s">
        <v>568</v>
      </c>
      <c r="F58" s="32" t="s">
        <v>775</v>
      </c>
      <c r="G58" s="1" t="s">
        <v>112</v>
      </c>
    </row>
    <row r="59" spans="1:7" x14ac:dyDescent="0.25">
      <c r="A59" s="1">
        <v>3</v>
      </c>
      <c r="B59" s="1">
        <v>18</v>
      </c>
      <c r="C59" s="1" t="s">
        <v>776</v>
      </c>
      <c r="D59" s="1" t="s">
        <v>260</v>
      </c>
      <c r="E59" s="3" t="s">
        <v>777</v>
      </c>
      <c r="F59" s="32" t="s">
        <v>778</v>
      </c>
      <c r="G59" s="1" t="s">
        <v>112</v>
      </c>
    </row>
    <row r="60" spans="1:7" x14ac:dyDescent="0.25">
      <c r="A60" s="1">
        <v>4</v>
      </c>
      <c r="B60" s="1">
        <v>17</v>
      </c>
      <c r="C60" s="1" t="s">
        <v>779</v>
      </c>
      <c r="D60" s="1" t="s">
        <v>780</v>
      </c>
      <c r="E60" s="3" t="s">
        <v>781</v>
      </c>
      <c r="F60" s="32" t="s">
        <v>782</v>
      </c>
      <c r="G60" s="1" t="s">
        <v>112</v>
      </c>
    </row>
    <row r="61" spans="1:7" x14ac:dyDescent="0.25">
      <c r="A61" s="1">
        <v>5</v>
      </c>
      <c r="B61" s="1">
        <v>16</v>
      </c>
      <c r="C61" s="1" t="s">
        <v>783</v>
      </c>
      <c r="D61" s="1" t="s">
        <v>784</v>
      </c>
      <c r="E61" s="3" t="s">
        <v>785</v>
      </c>
      <c r="F61" s="32" t="s">
        <v>786</v>
      </c>
      <c r="G61" s="1" t="s">
        <v>112</v>
      </c>
    </row>
    <row r="62" spans="1:7" x14ac:dyDescent="0.25">
      <c r="A62" s="1">
        <v>6</v>
      </c>
      <c r="B62" s="1">
        <v>15</v>
      </c>
      <c r="C62" s="1" t="s">
        <v>104</v>
      </c>
      <c r="D62" s="1" t="s">
        <v>111</v>
      </c>
      <c r="E62" s="3" t="s">
        <v>100</v>
      </c>
      <c r="F62" s="32" t="s">
        <v>787</v>
      </c>
      <c r="G62" s="1" t="s">
        <v>112</v>
      </c>
    </row>
    <row r="63" spans="1:7" x14ac:dyDescent="0.25">
      <c r="A63" s="1">
        <v>7</v>
      </c>
      <c r="B63" s="1">
        <v>14</v>
      </c>
      <c r="C63" s="1" t="s">
        <v>113</v>
      </c>
      <c r="D63" s="1" t="s">
        <v>114</v>
      </c>
      <c r="E63" s="3"/>
      <c r="F63" s="32" t="s">
        <v>788</v>
      </c>
      <c r="G63" s="1" t="s">
        <v>112</v>
      </c>
    </row>
    <row r="64" spans="1:7" x14ac:dyDescent="0.25">
      <c r="A64" s="1">
        <v>8</v>
      </c>
      <c r="B64" s="1">
        <v>13</v>
      </c>
      <c r="C64" s="1" t="s">
        <v>115</v>
      </c>
      <c r="D64" s="1" t="s">
        <v>116</v>
      </c>
      <c r="E64" s="3" t="s">
        <v>100</v>
      </c>
      <c r="F64" s="32" t="s">
        <v>789</v>
      </c>
      <c r="G64" s="1" t="s">
        <v>112</v>
      </c>
    </row>
    <row r="65" spans="1:8" x14ac:dyDescent="0.25">
      <c r="A65" s="6"/>
      <c r="B65" s="6"/>
      <c r="C65" s="6"/>
      <c r="D65" s="6"/>
      <c r="E65" s="21"/>
      <c r="F65" s="33"/>
      <c r="G65" s="6"/>
    </row>
    <row r="66" spans="1:8" x14ac:dyDescent="0.25">
      <c r="A66" s="4" t="s">
        <v>0</v>
      </c>
      <c r="B66" s="4" t="s">
        <v>73</v>
      </c>
      <c r="C66" s="4" t="s">
        <v>1</v>
      </c>
      <c r="D66" s="4" t="s">
        <v>2</v>
      </c>
      <c r="E66" s="5" t="s">
        <v>3</v>
      </c>
      <c r="F66" s="31" t="s">
        <v>4</v>
      </c>
      <c r="G66" s="4" t="s">
        <v>5</v>
      </c>
    </row>
    <row r="67" spans="1:8" x14ac:dyDescent="0.25">
      <c r="A67" s="1">
        <v>1</v>
      </c>
      <c r="B67" s="1">
        <v>20</v>
      </c>
      <c r="C67" s="1" t="s">
        <v>117</v>
      </c>
      <c r="D67" s="1" t="s">
        <v>118</v>
      </c>
      <c r="E67" s="3" t="s">
        <v>140</v>
      </c>
      <c r="F67" s="32" t="s">
        <v>790</v>
      </c>
      <c r="G67" s="1" t="s">
        <v>119</v>
      </c>
    </row>
    <row r="68" spans="1:8" x14ac:dyDescent="0.25">
      <c r="A68" s="1">
        <v>2</v>
      </c>
      <c r="B68" s="1">
        <v>19</v>
      </c>
      <c r="C68" s="1"/>
      <c r="D68" s="1"/>
      <c r="E68" s="3"/>
      <c r="F68" s="32"/>
      <c r="G68" s="1" t="s">
        <v>119</v>
      </c>
    </row>
    <row r="69" spans="1:8" x14ac:dyDescent="0.25">
      <c r="A69" s="6"/>
      <c r="B69" s="6"/>
      <c r="C69" s="6"/>
      <c r="D69" s="6"/>
      <c r="E69" s="21"/>
      <c r="F69" s="33"/>
      <c r="G69" s="6"/>
    </row>
    <row r="70" spans="1:8" x14ac:dyDescent="0.25">
      <c r="A70" s="4" t="s">
        <v>0</v>
      </c>
      <c r="B70" s="4" t="s">
        <v>73</v>
      </c>
      <c r="C70" s="4" t="s">
        <v>1</v>
      </c>
      <c r="D70" s="4" t="s">
        <v>2</v>
      </c>
      <c r="E70" s="5" t="s">
        <v>3</v>
      </c>
      <c r="F70" s="31" t="s">
        <v>4</v>
      </c>
      <c r="G70" s="4" t="s">
        <v>5</v>
      </c>
    </row>
    <row r="71" spans="1:8" x14ac:dyDescent="0.25">
      <c r="A71" s="1">
        <v>1</v>
      </c>
      <c r="B71" s="1">
        <v>20</v>
      </c>
      <c r="C71" s="1" t="s">
        <v>89</v>
      </c>
      <c r="D71" s="1" t="s">
        <v>120</v>
      </c>
      <c r="E71" s="3" t="s">
        <v>91</v>
      </c>
      <c r="F71" s="32" t="s">
        <v>791</v>
      </c>
      <c r="G71" s="1" t="s">
        <v>121</v>
      </c>
    </row>
    <row r="72" spans="1:8" x14ac:dyDescent="0.25">
      <c r="F72" s="29"/>
    </row>
    <row r="73" spans="1:8" x14ac:dyDescent="0.25">
      <c r="A73" s="4" t="s">
        <v>0</v>
      </c>
      <c r="B73" s="4" t="s">
        <v>73</v>
      </c>
      <c r="C73" s="4" t="s">
        <v>1</v>
      </c>
      <c r="D73" s="4" t="s">
        <v>2</v>
      </c>
      <c r="E73" s="5" t="s">
        <v>3</v>
      </c>
      <c r="F73" s="31" t="s">
        <v>4</v>
      </c>
      <c r="G73" s="4" t="s">
        <v>5</v>
      </c>
      <c r="H73" s="4" t="s">
        <v>72</v>
      </c>
    </row>
    <row r="74" spans="1:8" x14ac:dyDescent="0.25">
      <c r="A74" s="1">
        <v>1</v>
      </c>
      <c r="B74">
        <f t="shared" ref="B74:B78" si="2">IF(H74=1,MAX(21-A74,0),0)</f>
        <v>20</v>
      </c>
      <c r="C74" s="1" t="s">
        <v>792</v>
      </c>
      <c r="D74" s="1" t="s">
        <v>793</v>
      </c>
      <c r="E74" s="3" t="s">
        <v>12</v>
      </c>
      <c r="F74" s="32" t="s">
        <v>794</v>
      </c>
      <c r="G74" s="1" t="s">
        <v>124</v>
      </c>
      <c r="H74" s="6">
        <f>COUNTIF(ValidTeams[],E74)</f>
        <v>1</v>
      </c>
    </row>
    <row r="75" spans="1:8" x14ac:dyDescent="0.25">
      <c r="A75" s="1">
        <v>2</v>
      </c>
      <c r="B75">
        <f t="shared" si="2"/>
        <v>0</v>
      </c>
      <c r="C75" s="1" t="s">
        <v>795</v>
      </c>
      <c r="D75" s="1" t="s">
        <v>796</v>
      </c>
      <c r="E75" s="3" t="s">
        <v>797</v>
      </c>
      <c r="F75" s="32" t="s">
        <v>798</v>
      </c>
      <c r="G75" s="1" t="s">
        <v>124</v>
      </c>
      <c r="H75" s="6">
        <f>COUNTIF(ValidTeams[],E75)</f>
        <v>0</v>
      </c>
    </row>
    <row r="76" spans="1:8" x14ac:dyDescent="0.25">
      <c r="A76">
        <v>3</v>
      </c>
      <c r="B76">
        <f t="shared" si="2"/>
        <v>0</v>
      </c>
      <c r="C76" t="s">
        <v>799</v>
      </c>
      <c r="D76" t="s">
        <v>793</v>
      </c>
      <c r="E76" t="s">
        <v>800</v>
      </c>
      <c r="F76" s="28">
        <v>1.2328703703703705E-2</v>
      </c>
      <c r="G76" t="s">
        <v>124</v>
      </c>
      <c r="H76">
        <f>COUNTIF(ValidTeams[],E76)</f>
        <v>0</v>
      </c>
    </row>
    <row r="77" spans="1:8" x14ac:dyDescent="0.25">
      <c r="A77">
        <v>4</v>
      </c>
      <c r="B77">
        <f t="shared" si="2"/>
        <v>17</v>
      </c>
      <c r="C77" t="s">
        <v>577</v>
      </c>
      <c r="D77" t="s">
        <v>123</v>
      </c>
      <c r="E77" t="s">
        <v>451</v>
      </c>
      <c r="F77" s="28">
        <v>1.2347222222222223E-2</v>
      </c>
      <c r="G77" t="s">
        <v>124</v>
      </c>
      <c r="H77">
        <f>COUNTIF(ValidTeams[],E77)</f>
        <v>1</v>
      </c>
    </row>
    <row r="78" spans="1:8" x14ac:dyDescent="0.25">
      <c r="A78">
        <v>5</v>
      </c>
      <c r="B78">
        <f t="shared" si="2"/>
        <v>16</v>
      </c>
      <c r="C78" t="s">
        <v>122</v>
      </c>
      <c r="D78" t="s">
        <v>123</v>
      </c>
      <c r="E78" t="s">
        <v>12</v>
      </c>
      <c r="F78" s="28">
        <v>1.3042824074074075E-2</v>
      </c>
      <c r="G78" t="s">
        <v>124</v>
      </c>
      <c r="H78">
        <f>COUNTIF(ValidTeams[],E78)</f>
        <v>1</v>
      </c>
    </row>
    <row r="79" spans="1:8" x14ac:dyDescent="0.25">
      <c r="A79" s="1">
        <v>6</v>
      </c>
      <c r="B79" s="24">
        <f>IF(H79=1,MAX(21-A79,0),0)</f>
        <v>0</v>
      </c>
      <c r="C79" s="1" t="s">
        <v>127</v>
      </c>
      <c r="D79" s="1" t="s">
        <v>128</v>
      </c>
      <c r="E79" s="3" t="s">
        <v>129</v>
      </c>
      <c r="F79" s="32" t="s">
        <v>801</v>
      </c>
      <c r="G79" s="1" t="s">
        <v>124</v>
      </c>
      <c r="H79" s="24">
        <f>COUNTIF(ValidTeams[],E79)</f>
        <v>0</v>
      </c>
    </row>
    <row r="80" spans="1:8" x14ac:dyDescent="0.25">
      <c r="A80" s="1">
        <v>7</v>
      </c>
      <c r="B80" s="24">
        <f>IF(H80=1,MAX(21-A80,0),0)</f>
        <v>0</v>
      </c>
      <c r="C80" s="1" t="s">
        <v>130</v>
      </c>
      <c r="D80" s="1" t="s">
        <v>23</v>
      </c>
      <c r="E80" s="3"/>
      <c r="F80" s="32" t="s">
        <v>802</v>
      </c>
      <c r="G80" s="1" t="s">
        <v>124</v>
      </c>
      <c r="H80" s="24">
        <f>COUNTIF(ValidTeams[],E80)</f>
        <v>0</v>
      </c>
    </row>
    <row r="81" spans="1:8" x14ac:dyDescent="0.25">
      <c r="A81" s="1">
        <v>8</v>
      </c>
      <c r="B81" s="24">
        <f>IF(H81=1,MAX(21-A81,0),0)</f>
        <v>0</v>
      </c>
      <c r="C81" s="1" t="s">
        <v>803</v>
      </c>
      <c r="D81" s="1" t="s">
        <v>250</v>
      </c>
      <c r="E81" s="3"/>
      <c r="F81" s="32" t="s">
        <v>804</v>
      </c>
      <c r="G81" s="1" t="s">
        <v>124</v>
      </c>
      <c r="H81" s="24">
        <f>COUNTIF(ValidTeams[],E81)</f>
        <v>0</v>
      </c>
    </row>
    <row r="82" spans="1:8" x14ac:dyDescent="0.25">
      <c r="A82" s="6"/>
      <c r="B82" s="34"/>
      <c r="C82" s="6"/>
      <c r="D82" s="6"/>
      <c r="E82" s="21"/>
      <c r="F82" s="33"/>
      <c r="G82" s="6"/>
      <c r="H82" s="34"/>
    </row>
    <row r="83" spans="1:8" x14ac:dyDescent="0.25">
      <c r="A83" s="4" t="s">
        <v>0</v>
      </c>
      <c r="B83" s="4" t="s">
        <v>73</v>
      </c>
      <c r="C83" s="4" t="s">
        <v>1</v>
      </c>
      <c r="D83" s="4" t="s">
        <v>2</v>
      </c>
      <c r="E83" s="5" t="s">
        <v>3</v>
      </c>
      <c r="F83" s="31" t="s">
        <v>4</v>
      </c>
      <c r="G83" s="4" t="s">
        <v>5</v>
      </c>
      <c r="H83" s="4" t="s">
        <v>72</v>
      </c>
    </row>
    <row r="84" spans="1:8" x14ac:dyDescent="0.25">
      <c r="A84" s="1">
        <v>1</v>
      </c>
      <c r="B84">
        <f t="shared" ref="B84:B89" si="3">IF(H84=1,MAX(21-A84,0),0)</f>
        <v>20</v>
      </c>
      <c r="C84" s="1" t="s">
        <v>136</v>
      </c>
      <c r="D84" s="1" t="s">
        <v>137</v>
      </c>
      <c r="E84" s="3" t="s">
        <v>138</v>
      </c>
      <c r="F84" s="32" t="s">
        <v>805</v>
      </c>
      <c r="G84" s="1" t="s">
        <v>135</v>
      </c>
      <c r="H84" s="6">
        <f>COUNTIF(ValidTeams[],E84)</f>
        <v>1</v>
      </c>
    </row>
    <row r="85" spans="1:8" x14ac:dyDescent="0.25">
      <c r="A85" s="1">
        <v>2</v>
      </c>
      <c r="B85">
        <f t="shared" si="3"/>
        <v>19</v>
      </c>
      <c r="C85" s="1" t="s">
        <v>134</v>
      </c>
      <c r="D85" s="1" t="s">
        <v>7</v>
      </c>
      <c r="E85" s="3" t="s">
        <v>34</v>
      </c>
      <c r="F85" s="32" t="s">
        <v>806</v>
      </c>
      <c r="G85" s="1" t="s">
        <v>135</v>
      </c>
      <c r="H85" s="6">
        <f>COUNTIF(ValidTeams[],E85)</f>
        <v>1</v>
      </c>
    </row>
    <row r="86" spans="1:8" x14ac:dyDescent="0.25">
      <c r="A86" s="1">
        <v>3</v>
      </c>
      <c r="B86">
        <f t="shared" si="3"/>
        <v>18</v>
      </c>
      <c r="C86" s="1" t="s">
        <v>807</v>
      </c>
      <c r="D86" s="1" t="s">
        <v>595</v>
      </c>
      <c r="E86" s="3" t="s">
        <v>808</v>
      </c>
      <c r="F86" s="32" t="s">
        <v>809</v>
      </c>
      <c r="G86" s="1" t="s">
        <v>135</v>
      </c>
      <c r="H86" s="6">
        <f>COUNTIF(ValidTeams[],E86)</f>
        <v>1</v>
      </c>
    </row>
    <row r="87" spans="1:8" x14ac:dyDescent="0.25">
      <c r="A87" s="1">
        <v>4</v>
      </c>
      <c r="B87">
        <f t="shared" si="3"/>
        <v>17</v>
      </c>
      <c r="C87" s="1" t="s">
        <v>594</v>
      </c>
      <c r="D87" s="1" t="s">
        <v>595</v>
      </c>
      <c r="E87" s="3" t="s">
        <v>18</v>
      </c>
      <c r="F87" s="32" t="s">
        <v>810</v>
      </c>
      <c r="G87" s="1" t="s">
        <v>135</v>
      </c>
      <c r="H87" s="6">
        <f>COUNTIF(ValidTeams[],E87)</f>
        <v>1</v>
      </c>
    </row>
    <row r="88" spans="1:8" x14ac:dyDescent="0.25">
      <c r="A88">
        <v>5</v>
      </c>
      <c r="B88">
        <f t="shared" si="3"/>
        <v>16</v>
      </c>
      <c r="C88" t="s">
        <v>117</v>
      </c>
      <c r="D88" t="s">
        <v>139</v>
      </c>
      <c r="E88" t="s">
        <v>140</v>
      </c>
      <c r="F88" s="28">
        <v>1.3446759259259261E-2</v>
      </c>
      <c r="G88" t="s">
        <v>135</v>
      </c>
      <c r="H88">
        <f>COUNTIF(ValidTeams[],E88)</f>
        <v>1</v>
      </c>
    </row>
    <row r="89" spans="1:8" x14ac:dyDescent="0.25">
      <c r="A89">
        <v>6</v>
      </c>
      <c r="B89">
        <f t="shared" si="3"/>
        <v>15</v>
      </c>
      <c r="C89" t="s">
        <v>811</v>
      </c>
      <c r="D89" t="s">
        <v>128</v>
      </c>
      <c r="E89" t="s">
        <v>251</v>
      </c>
      <c r="F89" s="28">
        <v>1.4412037037037037E-2</v>
      </c>
      <c r="G89" t="s">
        <v>135</v>
      </c>
      <c r="H89">
        <f>COUNTIF(ValidTeams[],E89)</f>
        <v>1</v>
      </c>
    </row>
    <row r="90" spans="1:8" x14ac:dyDescent="0.25">
      <c r="A90" s="1">
        <v>7</v>
      </c>
      <c r="B90" s="24">
        <f>IF(H90=1,MAX(21-A90,0),0)</f>
        <v>14</v>
      </c>
      <c r="C90" s="1" t="s">
        <v>169</v>
      </c>
      <c r="D90" s="1" t="s">
        <v>170</v>
      </c>
      <c r="E90" s="3" t="s">
        <v>171</v>
      </c>
      <c r="F90" s="32" t="s">
        <v>812</v>
      </c>
      <c r="G90" s="1" t="s">
        <v>135</v>
      </c>
      <c r="H90" s="24">
        <f>COUNTIF(ValidTeams[],E90)</f>
        <v>1</v>
      </c>
    </row>
    <row r="91" spans="1:8" x14ac:dyDescent="0.25">
      <c r="A91" s="6"/>
      <c r="B91" s="34"/>
      <c r="C91" s="6"/>
      <c r="D91" s="6"/>
      <c r="E91" s="21"/>
      <c r="F91" s="33"/>
      <c r="G91" s="6"/>
      <c r="H91" s="34"/>
    </row>
    <row r="92" spans="1:8" x14ac:dyDescent="0.25">
      <c r="A92" s="4" t="s">
        <v>0</v>
      </c>
      <c r="B92" s="4" t="s">
        <v>73</v>
      </c>
      <c r="C92" s="4" t="s">
        <v>1</v>
      </c>
      <c r="D92" s="4" t="s">
        <v>2</v>
      </c>
      <c r="E92" s="5" t="s">
        <v>3</v>
      </c>
      <c r="F92" s="31" t="s">
        <v>4</v>
      </c>
      <c r="G92" s="4" t="s">
        <v>5</v>
      </c>
      <c r="H92" s="4" t="s">
        <v>72</v>
      </c>
    </row>
    <row r="93" spans="1:8" x14ac:dyDescent="0.25">
      <c r="A93" s="1">
        <v>1</v>
      </c>
      <c r="B93">
        <f t="shared" ref="B93:B105" si="4">IF(H93=1,MAX(21-A93,0),0)</f>
        <v>20</v>
      </c>
      <c r="C93" s="1" t="s">
        <v>66</v>
      </c>
      <c r="D93" s="1" t="s">
        <v>176</v>
      </c>
      <c r="E93" s="3" t="s">
        <v>442</v>
      </c>
      <c r="F93" s="32" t="s">
        <v>813</v>
      </c>
      <c r="G93" s="1" t="s">
        <v>178</v>
      </c>
      <c r="H93" s="6">
        <f>COUNTIF(ValidTeams[],E93)</f>
        <v>1</v>
      </c>
    </row>
    <row r="94" spans="1:8" x14ac:dyDescent="0.25">
      <c r="A94" s="1">
        <v>2</v>
      </c>
      <c r="B94">
        <f t="shared" si="4"/>
        <v>19</v>
      </c>
      <c r="C94" s="1" t="s">
        <v>179</v>
      </c>
      <c r="D94" s="1" t="s">
        <v>24</v>
      </c>
      <c r="E94" s="3" t="s">
        <v>100</v>
      </c>
      <c r="F94" s="32" t="s">
        <v>814</v>
      </c>
      <c r="G94" s="1" t="s">
        <v>178</v>
      </c>
      <c r="H94" s="6">
        <f>COUNTIF(ValidTeams[],E94)</f>
        <v>1</v>
      </c>
    </row>
    <row r="95" spans="1:8" x14ac:dyDescent="0.25">
      <c r="A95" s="1">
        <v>3</v>
      </c>
      <c r="B95">
        <f t="shared" si="4"/>
        <v>18</v>
      </c>
      <c r="C95" s="1" t="s">
        <v>186</v>
      </c>
      <c r="D95" s="1" t="s">
        <v>187</v>
      </c>
      <c r="E95" s="3" t="s">
        <v>8</v>
      </c>
      <c r="F95" s="32" t="s">
        <v>815</v>
      </c>
      <c r="G95" s="1" t="s">
        <v>178</v>
      </c>
      <c r="H95" s="6">
        <f>COUNTIF(ValidTeams[],E95)</f>
        <v>1</v>
      </c>
    </row>
    <row r="96" spans="1:8" x14ac:dyDescent="0.25">
      <c r="A96" s="1">
        <v>4</v>
      </c>
      <c r="B96">
        <f t="shared" si="4"/>
        <v>17</v>
      </c>
      <c r="C96" s="1" t="s">
        <v>816</v>
      </c>
      <c r="D96" s="1" t="s">
        <v>817</v>
      </c>
      <c r="E96" s="3" t="s">
        <v>18</v>
      </c>
      <c r="F96" s="32" t="s">
        <v>818</v>
      </c>
      <c r="G96" s="1" t="s">
        <v>178</v>
      </c>
      <c r="H96" s="6">
        <f>COUNTIF(ValidTeams[],E96)</f>
        <v>1</v>
      </c>
    </row>
    <row r="97" spans="1:8" x14ac:dyDescent="0.25">
      <c r="A97" s="1">
        <v>5</v>
      </c>
      <c r="B97">
        <f t="shared" si="4"/>
        <v>16</v>
      </c>
      <c r="C97" s="1" t="s">
        <v>183</v>
      </c>
      <c r="D97" s="1" t="s">
        <v>184</v>
      </c>
      <c r="E97" s="3" t="s">
        <v>100</v>
      </c>
      <c r="F97" s="32" t="s">
        <v>819</v>
      </c>
      <c r="G97" s="1" t="s">
        <v>178</v>
      </c>
      <c r="H97" s="6">
        <f>COUNTIF(ValidTeams[],E97)</f>
        <v>1</v>
      </c>
    </row>
    <row r="98" spans="1:8" x14ac:dyDescent="0.25">
      <c r="A98" s="1">
        <v>6</v>
      </c>
      <c r="B98">
        <f t="shared" si="4"/>
        <v>15</v>
      </c>
      <c r="C98" s="1" t="s">
        <v>181</v>
      </c>
      <c r="D98" s="1" t="s">
        <v>132</v>
      </c>
      <c r="E98" s="3" t="s">
        <v>34</v>
      </c>
      <c r="F98" s="32" t="s">
        <v>820</v>
      </c>
      <c r="G98" s="1" t="s">
        <v>178</v>
      </c>
      <c r="H98" s="6">
        <f>COUNTIF(ValidTeams[],E98)</f>
        <v>1</v>
      </c>
    </row>
    <row r="99" spans="1:8" x14ac:dyDescent="0.25">
      <c r="A99" s="1">
        <v>7</v>
      </c>
      <c r="B99">
        <f t="shared" si="4"/>
        <v>14</v>
      </c>
      <c r="C99" s="1" t="s">
        <v>193</v>
      </c>
      <c r="D99" s="1" t="s">
        <v>194</v>
      </c>
      <c r="E99" s="3" t="s">
        <v>442</v>
      </c>
      <c r="F99" s="32" t="s">
        <v>821</v>
      </c>
      <c r="G99" s="1" t="s">
        <v>178</v>
      </c>
      <c r="H99" s="6">
        <f>COUNTIF(ValidTeams[],E99)</f>
        <v>1</v>
      </c>
    </row>
    <row r="100" spans="1:8" x14ac:dyDescent="0.25">
      <c r="A100" s="1">
        <v>8</v>
      </c>
      <c r="B100">
        <f t="shared" si="4"/>
        <v>13</v>
      </c>
      <c r="C100" s="1" t="s">
        <v>196</v>
      </c>
      <c r="D100" s="1" t="s">
        <v>128</v>
      </c>
      <c r="E100" s="3" t="s">
        <v>38</v>
      </c>
      <c r="F100" s="32" t="s">
        <v>822</v>
      </c>
      <c r="G100" s="1" t="s">
        <v>178</v>
      </c>
      <c r="H100" s="6">
        <f>COUNTIF(ValidTeams[],E100)</f>
        <v>1</v>
      </c>
    </row>
    <row r="101" spans="1:8" x14ac:dyDescent="0.25">
      <c r="A101" s="1">
        <v>9</v>
      </c>
      <c r="B101">
        <f t="shared" si="4"/>
        <v>12</v>
      </c>
      <c r="C101" s="1" t="s">
        <v>598</v>
      </c>
      <c r="D101" s="1" t="s">
        <v>599</v>
      </c>
      <c r="E101" s="3" t="s">
        <v>345</v>
      </c>
      <c r="F101" s="32" t="s">
        <v>823</v>
      </c>
      <c r="G101" s="1" t="s">
        <v>178</v>
      </c>
      <c r="H101" s="6">
        <f>COUNTIF(ValidTeams[],E101)</f>
        <v>1</v>
      </c>
    </row>
    <row r="102" spans="1:8" x14ac:dyDescent="0.25">
      <c r="A102" s="1">
        <v>10</v>
      </c>
      <c r="B102">
        <f t="shared" si="4"/>
        <v>11</v>
      </c>
      <c r="C102" s="1" t="s">
        <v>550</v>
      </c>
      <c r="D102" s="1" t="s">
        <v>601</v>
      </c>
      <c r="E102" s="3" t="s">
        <v>691</v>
      </c>
      <c r="F102" s="32" t="s">
        <v>824</v>
      </c>
      <c r="G102" s="1" t="s">
        <v>178</v>
      </c>
      <c r="H102" s="6">
        <f>COUNTIF(ValidTeams[],E102)</f>
        <v>1</v>
      </c>
    </row>
    <row r="103" spans="1:8" x14ac:dyDescent="0.25">
      <c r="A103" s="1">
        <v>11</v>
      </c>
      <c r="B103">
        <f t="shared" si="4"/>
        <v>0</v>
      </c>
      <c r="C103" s="1" t="s">
        <v>209</v>
      </c>
      <c r="D103" s="1" t="s">
        <v>33</v>
      </c>
      <c r="E103" s="3" t="s">
        <v>210</v>
      </c>
      <c r="F103" s="32" t="s">
        <v>825</v>
      </c>
      <c r="G103" s="1" t="s">
        <v>178</v>
      </c>
      <c r="H103" s="6">
        <f>COUNTIF(ValidTeams[],E103)</f>
        <v>0</v>
      </c>
    </row>
    <row r="104" spans="1:8" x14ac:dyDescent="0.25">
      <c r="A104" s="1">
        <v>12</v>
      </c>
      <c r="B104">
        <f t="shared" si="4"/>
        <v>9</v>
      </c>
      <c r="C104" s="1" t="s">
        <v>826</v>
      </c>
      <c r="D104" s="1" t="s">
        <v>257</v>
      </c>
      <c r="E104" s="3" t="s">
        <v>389</v>
      </c>
      <c r="F104" s="32" t="s">
        <v>729</v>
      </c>
      <c r="G104" s="1" t="s">
        <v>178</v>
      </c>
      <c r="H104" s="6">
        <f>COUNTIF(ValidTeams[],E104)</f>
        <v>1</v>
      </c>
    </row>
    <row r="105" spans="1:8" x14ac:dyDescent="0.25">
      <c r="A105" s="1">
        <v>13</v>
      </c>
      <c r="B105">
        <f t="shared" si="4"/>
        <v>8</v>
      </c>
      <c r="C105" s="1" t="s">
        <v>89</v>
      </c>
      <c r="D105" s="1" t="s">
        <v>310</v>
      </c>
      <c r="E105" s="3" t="s">
        <v>91</v>
      </c>
      <c r="F105" s="32" t="s">
        <v>827</v>
      </c>
      <c r="G105" s="1" t="s">
        <v>178</v>
      </c>
      <c r="H105" s="6">
        <f>COUNTIF(ValidTeams[],E105)</f>
        <v>1</v>
      </c>
    </row>
    <row r="106" spans="1:8" x14ac:dyDescent="0.25">
      <c r="F106" s="29"/>
    </row>
    <row r="107" spans="1:8" x14ac:dyDescent="0.25">
      <c r="A107" s="4" t="s">
        <v>0</v>
      </c>
      <c r="B107" s="4" t="s">
        <v>73</v>
      </c>
      <c r="C107" s="4" t="s">
        <v>1</v>
      </c>
      <c r="D107" s="4" t="s">
        <v>2</v>
      </c>
      <c r="E107" s="5" t="s">
        <v>3</v>
      </c>
      <c r="F107" s="31" t="s">
        <v>4</v>
      </c>
      <c r="G107" s="4" t="s">
        <v>5</v>
      </c>
      <c r="H107" s="4" t="s">
        <v>72</v>
      </c>
    </row>
    <row r="108" spans="1:8" x14ac:dyDescent="0.25">
      <c r="A108" s="1">
        <v>1</v>
      </c>
      <c r="B108">
        <f t="shared" ref="B108:B116" si="5">IF(H108=1,MAX(21-A108,0),0)</f>
        <v>20</v>
      </c>
      <c r="C108" s="1" t="s">
        <v>828</v>
      </c>
      <c r="D108" s="1" t="s">
        <v>829</v>
      </c>
      <c r="E108" s="3" t="s">
        <v>18</v>
      </c>
      <c r="F108" s="32" t="s">
        <v>830</v>
      </c>
      <c r="G108" s="1" t="s">
        <v>217</v>
      </c>
      <c r="H108" s="6">
        <f>COUNTIF(ValidTeams[],E108)</f>
        <v>1</v>
      </c>
    </row>
    <row r="109" spans="1:8" x14ac:dyDescent="0.25">
      <c r="A109" s="1">
        <v>2</v>
      </c>
      <c r="B109">
        <f t="shared" si="5"/>
        <v>0</v>
      </c>
      <c r="C109" s="1" t="s">
        <v>831</v>
      </c>
      <c r="D109" s="1" t="s">
        <v>176</v>
      </c>
      <c r="E109" s="3" t="s">
        <v>832</v>
      </c>
      <c r="F109" s="32" t="s">
        <v>830</v>
      </c>
      <c r="G109" s="1" t="s">
        <v>217</v>
      </c>
      <c r="H109" s="6">
        <f>COUNTIF(ValidTeams[],E109)</f>
        <v>0</v>
      </c>
    </row>
    <row r="110" spans="1:8" x14ac:dyDescent="0.25">
      <c r="A110" s="1">
        <v>3</v>
      </c>
      <c r="B110">
        <f t="shared" si="5"/>
        <v>18</v>
      </c>
      <c r="C110" s="1" t="s">
        <v>214</v>
      </c>
      <c r="D110" s="1" t="s">
        <v>215</v>
      </c>
      <c r="E110" s="3" t="s">
        <v>18</v>
      </c>
      <c r="F110" s="32" t="s">
        <v>833</v>
      </c>
      <c r="G110" s="1" t="s">
        <v>217</v>
      </c>
      <c r="H110" s="6">
        <f>COUNTIF(ValidTeams[],E110)</f>
        <v>1</v>
      </c>
    </row>
    <row r="111" spans="1:8" x14ac:dyDescent="0.25">
      <c r="A111" s="1">
        <v>4</v>
      </c>
      <c r="B111">
        <f t="shared" si="5"/>
        <v>17</v>
      </c>
      <c r="C111" s="1" t="s">
        <v>220</v>
      </c>
      <c r="D111" s="1" t="s">
        <v>221</v>
      </c>
      <c r="E111" s="3" t="s">
        <v>222</v>
      </c>
      <c r="F111" s="32" t="s">
        <v>834</v>
      </c>
      <c r="G111" s="1" t="s">
        <v>217</v>
      </c>
      <c r="H111" s="6">
        <f>COUNTIF(ValidTeams[],E111)</f>
        <v>1</v>
      </c>
    </row>
    <row r="112" spans="1:8" x14ac:dyDescent="0.25">
      <c r="A112" s="1">
        <v>5</v>
      </c>
      <c r="B112">
        <f t="shared" si="5"/>
        <v>16</v>
      </c>
      <c r="C112" s="1" t="s">
        <v>218</v>
      </c>
      <c r="D112" s="1" t="s">
        <v>114</v>
      </c>
      <c r="E112" s="3" t="s">
        <v>18</v>
      </c>
      <c r="F112" s="32" t="s">
        <v>835</v>
      </c>
      <c r="G112" s="1" t="s">
        <v>217</v>
      </c>
      <c r="H112" s="6">
        <f>COUNTIF(ValidTeams[],E112)</f>
        <v>1</v>
      </c>
    </row>
    <row r="113" spans="1:8" x14ac:dyDescent="0.25">
      <c r="A113" s="1">
        <v>6</v>
      </c>
      <c r="B113">
        <f t="shared" si="5"/>
        <v>15</v>
      </c>
      <c r="C113" s="1" t="s">
        <v>224</v>
      </c>
      <c r="D113" s="1" t="s">
        <v>225</v>
      </c>
      <c r="E113" s="3" t="s">
        <v>226</v>
      </c>
      <c r="F113" s="32" t="s">
        <v>836</v>
      </c>
      <c r="G113" s="1" t="s">
        <v>217</v>
      </c>
      <c r="H113" s="6">
        <f>COUNTIF(ValidTeams[],E113)</f>
        <v>1</v>
      </c>
    </row>
    <row r="114" spans="1:8" x14ac:dyDescent="0.25">
      <c r="A114" s="1">
        <v>7</v>
      </c>
      <c r="B114">
        <f t="shared" si="5"/>
        <v>14</v>
      </c>
      <c r="C114" s="1" t="s">
        <v>609</v>
      </c>
      <c r="D114" s="1" t="s">
        <v>837</v>
      </c>
      <c r="E114" s="3" t="s">
        <v>8</v>
      </c>
      <c r="F114" s="32" t="s">
        <v>838</v>
      </c>
      <c r="G114" s="1" t="s">
        <v>217</v>
      </c>
      <c r="H114" s="6">
        <f>COUNTIF(ValidTeams[],E114)</f>
        <v>1</v>
      </c>
    </row>
    <row r="115" spans="1:8" x14ac:dyDescent="0.25">
      <c r="A115" s="1">
        <v>8</v>
      </c>
      <c r="B115">
        <f t="shared" si="5"/>
        <v>13</v>
      </c>
      <c r="C115" s="1" t="s">
        <v>839</v>
      </c>
      <c r="D115" s="1" t="s">
        <v>174</v>
      </c>
      <c r="E115" s="3" t="s">
        <v>251</v>
      </c>
      <c r="F115" s="32" t="s">
        <v>840</v>
      </c>
      <c r="G115" s="1" t="s">
        <v>217</v>
      </c>
      <c r="H115" s="6">
        <f>COUNTIF(ValidTeams[],E115)</f>
        <v>1</v>
      </c>
    </row>
    <row r="116" spans="1:8" x14ac:dyDescent="0.25">
      <c r="A116" s="1">
        <v>9</v>
      </c>
      <c r="B116">
        <f t="shared" si="5"/>
        <v>12</v>
      </c>
      <c r="C116" s="1" t="s">
        <v>228</v>
      </c>
      <c r="D116" s="1" t="s">
        <v>229</v>
      </c>
      <c r="E116" s="3" t="s">
        <v>230</v>
      </c>
      <c r="F116" s="32" t="s">
        <v>841</v>
      </c>
      <c r="G116" s="1" t="s">
        <v>217</v>
      </c>
      <c r="H116" s="6">
        <f>COUNTIF(ValidTeams[],E116)</f>
        <v>1</v>
      </c>
    </row>
    <row r="117" spans="1:8" x14ac:dyDescent="0.25">
      <c r="A117" s="1">
        <v>10</v>
      </c>
      <c r="B117" s="24">
        <f>IF(H117=1,MAX(21-A117,0),0)</f>
        <v>11</v>
      </c>
      <c r="C117" s="1" t="s">
        <v>842</v>
      </c>
      <c r="D117" s="1" t="s">
        <v>225</v>
      </c>
      <c r="E117" s="3" t="s">
        <v>504</v>
      </c>
      <c r="F117" s="32" t="s">
        <v>843</v>
      </c>
      <c r="G117" s="1" t="s">
        <v>217</v>
      </c>
      <c r="H117" s="24">
        <f>COUNTIF(ValidTeams[],E117)</f>
        <v>1</v>
      </c>
    </row>
    <row r="118" spans="1:8" x14ac:dyDescent="0.25">
      <c r="A118" s="1">
        <v>11</v>
      </c>
      <c r="B118" s="24">
        <f>IF(H118=1,MAX(21-A118,0),0)</f>
        <v>10</v>
      </c>
      <c r="C118" s="1" t="s">
        <v>844</v>
      </c>
      <c r="D118" s="1" t="s">
        <v>696</v>
      </c>
      <c r="E118" s="3" t="s">
        <v>18</v>
      </c>
      <c r="F118" s="32" t="s">
        <v>845</v>
      </c>
      <c r="G118" s="1" t="s">
        <v>217</v>
      </c>
      <c r="H118" s="24">
        <f>COUNTIF(ValidTeams[],E118)</f>
        <v>1</v>
      </c>
    </row>
    <row r="119" spans="1:8" x14ac:dyDescent="0.25">
      <c r="A119" s="1">
        <v>12</v>
      </c>
      <c r="B119" s="24">
        <f>IF(H119=1,MAX(21-A119,0),0)</f>
        <v>9</v>
      </c>
      <c r="C119" s="1" t="s">
        <v>846</v>
      </c>
      <c r="D119" s="1" t="s">
        <v>847</v>
      </c>
      <c r="E119" s="3" t="s">
        <v>222</v>
      </c>
      <c r="F119" s="32" t="s">
        <v>848</v>
      </c>
      <c r="G119" s="1" t="s">
        <v>217</v>
      </c>
      <c r="H119" s="24">
        <f>COUNTIF(ValidTeams[],E119)</f>
        <v>1</v>
      </c>
    </row>
    <row r="120" spans="1:8" x14ac:dyDescent="0.25">
      <c r="A120" s="1">
        <v>13</v>
      </c>
      <c r="B120" s="24">
        <f>IF(H120=1,MAX(21-A120,0),0)</f>
        <v>8</v>
      </c>
      <c r="C120" s="1" t="s">
        <v>243</v>
      </c>
      <c r="D120" s="1" t="s">
        <v>244</v>
      </c>
      <c r="E120" s="3" t="s">
        <v>12</v>
      </c>
      <c r="F120" s="32" t="s">
        <v>849</v>
      </c>
      <c r="G120" s="1" t="s">
        <v>217</v>
      </c>
      <c r="H120" s="24">
        <f>COUNTIF(ValidTeams[],E120)</f>
        <v>1</v>
      </c>
    </row>
    <row r="121" spans="1:8" x14ac:dyDescent="0.25">
      <c r="A121" s="6"/>
      <c r="B121" s="34"/>
      <c r="C121" s="6"/>
      <c r="D121" s="6"/>
      <c r="E121" s="21"/>
      <c r="F121" s="33"/>
      <c r="G121" s="6"/>
      <c r="H121" s="34"/>
    </row>
    <row r="122" spans="1:8" x14ac:dyDescent="0.25">
      <c r="A122" s="4" t="s">
        <v>0</v>
      </c>
      <c r="B122" s="4" t="s">
        <v>73</v>
      </c>
      <c r="C122" s="4" t="s">
        <v>1</v>
      </c>
      <c r="D122" s="4" t="s">
        <v>2</v>
      </c>
      <c r="E122" s="5" t="s">
        <v>3</v>
      </c>
      <c r="F122" s="31" t="s">
        <v>4</v>
      </c>
      <c r="G122" s="4" t="s">
        <v>5</v>
      </c>
      <c r="H122" s="4" t="s">
        <v>72</v>
      </c>
    </row>
    <row r="123" spans="1:8" x14ac:dyDescent="0.25">
      <c r="A123" s="1">
        <v>1</v>
      </c>
      <c r="B123">
        <f t="shared" ref="B123:B128" si="6">IF(H123=1,MAX(21-A123,0),0)</f>
        <v>0</v>
      </c>
      <c r="C123" s="1" t="s">
        <v>850</v>
      </c>
      <c r="D123" s="1" t="s">
        <v>851</v>
      </c>
      <c r="E123" s="3" t="s">
        <v>852</v>
      </c>
      <c r="F123" s="32" t="s">
        <v>853</v>
      </c>
      <c r="G123" s="1" t="s">
        <v>248</v>
      </c>
      <c r="H123" s="6">
        <f>COUNTIF(ValidTeams[],E123)</f>
        <v>0</v>
      </c>
    </row>
    <row r="124" spans="1:8" x14ac:dyDescent="0.25">
      <c r="A124" s="1">
        <v>2</v>
      </c>
      <c r="B124">
        <f t="shared" si="6"/>
        <v>0</v>
      </c>
      <c r="C124" s="1" t="s">
        <v>854</v>
      </c>
      <c r="D124" s="1" t="s">
        <v>595</v>
      </c>
      <c r="E124" s="3" t="s">
        <v>855</v>
      </c>
      <c r="F124" s="32" t="s">
        <v>856</v>
      </c>
      <c r="G124" s="1" t="s">
        <v>248</v>
      </c>
      <c r="H124" s="6">
        <f>COUNTIF(ValidTeams[],E124)</f>
        <v>0</v>
      </c>
    </row>
    <row r="125" spans="1:8" x14ac:dyDescent="0.25">
      <c r="A125" s="1">
        <v>3</v>
      </c>
      <c r="B125">
        <f t="shared" si="6"/>
        <v>18</v>
      </c>
      <c r="C125" s="1" t="s">
        <v>246</v>
      </c>
      <c r="D125" s="1" t="s">
        <v>20</v>
      </c>
      <c r="E125" s="3" t="s">
        <v>44</v>
      </c>
      <c r="F125" s="32" t="s">
        <v>857</v>
      </c>
      <c r="G125" s="1" t="s">
        <v>248</v>
      </c>
      <c r="H125" s="6">
        <f>COUNTIF(ValidTeams[],E125)</f>
        <v>1</v>
      </c>
    </row>
    <row r="126" spans="1:8" x14ac:dyDescent="0.25">
      <c r="A126">
        <v>4</v>
      </c>
      <c r="B126">
        <f t="shared" si="6"/>
        <v>17</v>
      </c>
      <c r="C126" t="s">
        <v>249</v>
      </c>
      <c r="D126" t="s">
        <v>250</v>
      </c>
      <c r="E126" t="s">
        <v>504</v>
      </c>
      <c r="F126" s="28">
        <v>1.3744212962962963E-2</v>
      </c>
      <c r="G126" t="s">
        <v>248</v>
      </c>
      <c r="H126">
        <f>COUNTIF(ValidTeams[],E126)</f>
        <v>1</v>
      </c>
    </row>
    <row r="127" spans="1:8" x14ac:dyDescent="0.25">
      <c r="A127">
        <v>5</v>
      </c>
      <c r="B127">
        <f t="shared" si="6"/>
        <v>16</v>
      </c>
      <c r="C127" t="s">
        <v>858</v>
      </c>
      <c r="D127" t="s">
        <v>859</v>
      </c>
      <c r="E127" t="s">
        <v>12</v>
      </c>
      <c r="F127" s="28">
        <v>1.3952546296296296E-2</v>
      </c>
      <c r="G127" t="s">
        <v>248</v>
      </c>
      <c r="H127">
        <f>COUNTIF(ValidTeams[],E127)</f>
        <v>1</v>
      </c>
    </row>
    <row r="128" spans="1:8" x14ac:dyDescent="0.25">
      <c r="A128">
        <v>6</v>
      </c>
      <c r="B128">
        <f t="shared" si="6"/>
        <v>15</v>
      </c>
      <c r="C128" t="s">
        <v>113</v>
      </c>
      <c r="D128" t="s">
        <v>253</v>
      </c>
      <c r="E128" t="s">
        <v>254</v>
      </c>
      <c r="F128" s="28">
        <v>1.4343750000000001E-2</v>
      </c>
      <c r="G128" t="s">
        <v>248</v>
      </c>
      <c r="H128">
        <f>COUNTIF(ValidTeams[],E128)</f>
        <v>1</v>
      </c>
    </row>
    <row r="129" spans="1:8" x14ac:dyDescent="0.25">
      <c r="A129" s="1">
        <v>7</v>
      </c>
      <c r="B129" s="24">
        <f>IF(H129=1,MAX(21-A129,0),0)</f>
        <v>0</v>
      </c>
      <c r="C129" s="1" t="s">
        <v>860</v>
      </c>
      <c r="D129" s="1" t="s">
        <v>861</v>
      </c>
      <c r="E129" s="3" t="s">
        <v>862</v>
      </c>
      <c r="F129" s="32" t="s">
        <v>863</v>
      </c>
      <c r="G129" s="1" t="s">
        <v>248</v>
      </c>
      <c r="H129" s="24">
        <f>COUNTIF(ValidTeams[],E129)</f>
        <v>0</v>
      </c>
    </row>
    <row r="130" spans="1:8" x14ac:dyDescent="0.25">
      <c r="A130" s="6"/>
      <c r="B130" s="34"/>
      <c r="C130" s="6"/>
      <c r="D130" s="6"/>
      <c r="E130" s="21"/>
      <c r="F130" s="33"/>
      <c r="G130" s="6"/>
      <c r="H130" s="34"/>
    </row>
    <row r="131" spans="1:8" x14ac:dyDescent="0.25">
      <c r="A131" s="4" t="s">
        <v>0</v>
      </c>
      <c r="B131" s="4" t="s">
        <v>73</v>
      </c>
      <c r="C131" s="4" t="s">
        <v>1</v>
      </c>
      <c r="D131" s="4" t="s">
        <v>2</v>
      </c>
      <c r="E131" s="5" t="s">
        <v>3</v>
      </c>
      <c r="F131" s="31" t="s">
        <v>4</v>
      </c>
      <c r="G131" s="4" t="s">
        <v>5</v>
      </c>
      <c r="H131" s="4" t="s">
        <v>72</v>
      </c>
    </row>
    <row r="132" spans="1:8" x14ac:dyDescent="0.25">
      <c r="A132" s="1">
        <v>1</v>
      </c>
      <c r="B132">
        <f t="shared" ref="B132:B153" si="7">IF(H132=1,MAX(21-A132,0),0)</f>
        <v>20</v>
      </c>
      <c r="C132" s="1" t="s">
        <v>265</v>
      </c>
      <c r="D132" s="1" t="s">
        <v>266</v>
      </c>
      <c r="E132" s="3" t="s">
        <v>267</v>
      </c>
      <c r="F132" s="32" t="s">
        <v>864</v>
      </c>
      <c r="G132" s="1" t="s">
        <v>269</v>
      </c>
      <c r="H132" s="6">
        <f>COUNTIF(ValidTeams[],E132)</f>
        <v>1</v>
      </c>
    </row>
    <row r="133" spans="1:8" x14ac:dyDescent="0.25">
      <c r="A133" s="1">
        <v>2</v>
      </c>
      <c r="B133">
        <f t="shared" si="7"/>
        <v>0</v>
      </c>
      <c r="C133" s="1" t="s">
        <v>865</v>
      </c>
      <c r="D133" s="1" t="s">
        <v>114</v>
      </c>
      <c r="E133" s="3"/>
      <c r="F133" s="32" t="s">
        <v>866</v>
      </c>
      <c r="G133" s="1" t="s">
        <v>269</v>
      </c>
      <c r="H133" s="6">
        <f>COUNTIF(ValidTeams[],E133)</f>
        <v>0</v>
      </c>
    </row>
    <row r="134" spans="1:8" x14ac:dyDescent="0.25">
      <c r="A134" s="1">
        <v>3</v>
      </c>
      <c r="B134">
        <f t="shared" si="7"/>
        <v>18</v>
      </c>
      <c r="C134" s="1" t="s">
        <v>270</v>
      </c>
      <c r="D134" s="1" t="s">
        <v>24</v>
      </c>
      <c r="E134" s="3" t="s">
        <v>271</v>
      </c>
      <c r="F134" s="32" t="s">
        <v>867</v>
      </c>
      <c r="G134" s="1" t="s">
        <v>269</v>
      </c>
      <c r="H134" s="6">
        <f>COUNTIF(ValidTeams[],E134)</f>
        <v>1</v>
      </c>
    </row>
    <row r="135" spans="1:8" x14ac:dyDescent="0.25">
      <c r="A135" s="1">
        <v>4</v>
      </c>
      <c r="B135">
        <f t="shared" si="7"/>
        <v>17</v>
      </c>
      <c r="C135" s="1" t="s">
        <v>277</v>
      </c>
      <c r="D135" s="1" t="s">
        <v>278</v>
      </c>
      <c r="E135" s="3" t="s">
        <v>275</v>
      </c>
      <c r="F135" s="32" t="s">
        <v>868</v>
      </c>
      <c r="G135" s="1" t="s">
        <v>269</v>
      </c>
      <c r="H135" s="6">
        <f>COUNTIF(ValidTeams[],E135)</f>
        <v>1</v>
      </c>
    </row>
    <row r="136" spans="1:8" x14ac:dyDescent="0.25">
      <c r="A136" s="1">
        <v>5</v>
      </c>
      <c r="B136">
        <f t="shared" si="7"/>
        <v>16</v>
      </c>
      <c r="C136" s="1" t="s">
        <v>273</v>
      </c>
      <c r="D136" s="1" t="s">
        <v>274</v>
      </c>
      <c r="E136" s="3" t="s">
        <v>275</v>
      </c>
      <c r="F136" s="32" t="s">
        <v>869</v>
      </c>
      <c r="G136" s="1" t="s">
        <v>269</v>
      </c>
      <c r="H136" s="6">
        <f>COUNTIF(ValidTeams[],E136)</f>
        <v>1</v>
      </c>
    </row>
    <row r="137" spans="1:8" x14ac:dyDescent="0.25">
      <c r="A137" s="1">
        <v>6</v>
      </c>
      <c r="B137">
        <f t="shared" si="7"/>
        <v>15</v>
      </c>
      <c r="C137" s="1" t="s">
        <v>303</v>
      </c>
      <c r="D137" s="1" t="s">
        <v>304</v>
      </c>
      <c r="E137" s="3" t="s">
        <v>275</v>
      </c>
      <c r="F137" s="32" t="s">
        <v>870</v>
      </c>
      <c r="G137" s="1" t="s">
        <v>269</v>
      </c>
      <c r="H137" s="6">
        <f>COUNTIF(ValidTeams[],E137)</f>
        <v>1</v>
      </c>
    </row>
    <row r="138" spans="1:8" x14ac:dyDescent="0.25">
      <c r="A138" s="1">
        <v>7</v>
      </c>
      <c r="B138">
        <f t="shared" si="7"/>
        <v>0</v>
      </c>
      <c r="C138" s="1" t="s">
        <v>871</v>
      </c>
      <c r="D138" s="1" t="s">
        <v>872</v>
      </c>
      <c r="E138" s="3" t="s">
        <v>873</v>
      </c>
      <c r="F138" s="32" t="s">
        <v>874</v>
      </c>
      <c r="G138" s="1" t="s">
        <v>269</v>
      </c>
      <c r="H138" s="6">
        <f>COUNTIF(ValidTeams[],E138)</f>
        <v>0</v>
      </c>
    </row>
    <row r="139" spans="1:8" x14ac:dyDescent="0.25">
      <c r="A139" s="1">
        <v>8</v>
      </c>
      <c r="B139">
        <f t="shared" si="7"/>
        <v>13</v>
      </c>
      <c r="C139" s="1" t="s">
        <v>875</v>
      </c>
      <c r="D139" s="1" t="s">
        <v>796</v>
      </c>
      <c r="E139" s="3" t="s">
        <v>38</v>
      </c>
      <c r="F139" s="32" t="s">
        <v>876</v>
      </c>
      <c r="G139" s="1" t="s">
        <v>269</v>
      </c>
      <c r="H139" s="6">
        <f>COUNTIF(ValidTeams[],E139)</f>
        <v>1</v>
      </c>
    </row>
    <row r="140" spans="1:8" x14ac:dyDescent="0.25">
      <c r="A140" s="1">
        <v>9</v>
      </c>
      <c r="B140">
        <f t="shared" si="7"/>
        <v>12</v>
      </c>
      <c r="C140" s="1" t="s">
        <v>625</v>
      </c>
      <c r="D140" s="1" t="s">
        <v>174</v>
      </c>
      <c r="E140" s="3" t="s">
        <v>290</v>
      </c>
      <c r="F140" s="32" t="s">
        <v>877</v>
      </c>
      <c r="G140" s="1" t="s">
        <v>269</v>
      </c>
      <c r="H140" s="6">
        <f>COUNTIF(ValidTeams[],E140)</f>
        <v>1</v>
      </c>
    </row>
    <row r="141" spans="1:8" x14ac:dyDescent="0.25">
      <c r="A141" s="1">
        <v>10</v>
      </c>
      <c r="B141">
        <f t="shared" si="7"/>
        <v>0</v>
      </c>
      <c r="C141" s="1" t="s">
        <v>878</v>
      </c>
      <c r="D141" s="1" t="s">
        <v>176</v>
      </c>
      <c r="E141" s="3"/>
      <c r="F141" s="32" t="s">
        <v>879</v>
      </c>
      <c r="G141" s="1" t="s">
        <v>269</v>
      </c>
      <c r="H141" s="6">
        <f>COUNTIF(ValidTeams[],E141)</f>
        <v>0</v>
      </c>
    </row>
    <row r="142" spans="1:8" x14ac:dyDescent="0.25">
      <c r="A142" s="1">
        <v>11</v>
      </c>
      <c r="B142">
        <f t="shared" si="7"/>
        <v>10</v>
      </c>
      <c r="C142" s="1" t="s">
        <v>880</v>
      </c>
      <c r="D142" s="1" t="s">
        <v>881</v>
      </c>
      <c r="E142" s="3" t="s">
        <v>313</v>
      </c>
      <c r="F142" s="32" t="s">
        <v>882</v>
      </c>
      <c r="G142" s="1" t="s">
        <v>269</v>
      </c>
      <c r="H142" s="6">
        <f>COUNTIF(ValidTeams[],E142)</f>
        <v>1</v>
      </c>
    </row>
    <row r="143" spans="1:8" x14ac:dyDescent="0.25">
      <c r="A143" s="1">
        <v>12</v>
      </c>
      <c r="B143">
        <f t="shared" si="7"/>
        <v>9</v>
      </c>
      <c r="C143" s="1" t="s">
        <v>883</v>
      </c>
      <c r="D143" s="1" t="s">
        <v>114</v>
      </c>
      <c r="E143" s="3" t="s">
        <v>448</v>
      </c>
      <c r="F143" s="32" t="s">
        <v>884</v>
      </c>
      <c r="G143" s="1" t="s">
        <v>269</v>
      </c>
      <c r="H143" s="6">
        <f>COUNTIF(ValidTeams[],E143)</f>
        <v>1</v>
      </c>
    </row>
    <row r="144" spans="1:8" x14ac:dyDescent="0.25">
      <c r="A144" s="1">
        <v>13</v>
      </c>
      <c r="B144">
        <f t="shared" si="7"/>
        <v>8</v>
      </c>
      <c r="C144" s="1" t="s">
        <v>885</v>
      </c>
      <c r="D144" s="1" t="s">
        <v>851</v>
      </c>
      <c r="E144" s="3" t="s">
        <v>275</v>
      </c>
      <c r="F144" s="32" t="s">
        <v>886</v>
      </c>
      <c r="G144" s="1" t="s">
        <v>269</v>
      </c>
      <c r="H144" s="6">
        <f>COUNTIF(ValidTeams[],E144)</f>
        <v>1</v>
      </c>
    </row>
    <row r="145" spans="1:8" x14ac:dyDescent="0.25">
      <c r="A145" s="1">
        <v>14</v>
      </c>
      <c r="B145">
        <f t="shared" si="7"/>
        <v>7</v>
      </c>
      <c r="C145" s="1" t="s">
        <v>295</v>
      </c>
      <c r="D145" s="1" t="s">
        <v>139</v>
      </c>
      <c r="E145" s="3" t="s">
        <v>18</v>
      </c>
      <c r="F145" s="32" t="s">
        <v>887</v>
      </c>
      <c r="G145" s="1" t="s">
        <v>269</v>
      </c>
      <c r="H145" s="6">
        <f>COUNTIF(ValidTeams[],E145)</f>
        <v>1</v>
      </c>
    </row>
    <row r="146" spans="1:8" x14ac:dyDescent="0.25">
      <c r="A146">
        <v>15</v>
      </c>
      <c r="B146">
        <f t="shared" si="7"/>
        <v>6</v>
      </c>
      <c r="C146" t="s">
        <v>312</v>
      </c>
      <c r="D146" t="s">
        <v>85</v>
      </c>
      <c r="E146" t="s">
        <v>313</v>
      </c>
      <c r="F146" s="28">
        <v>1.4706018518518519E-2</v>
      </c>
      <c r="G146" t="s">
        <v>269</v>
      </c>
      <c r="H146">
        <f>COUNTIF(ValidTeams[],E146)</f>
        <v>1</v>
      </c>
    </row>
    <row r="147" spans="1:8" x14ac:dyDescent="0.25">
      <c r="A147" s="1">
        <v>16</v>
      </c>
      <c r="B147">
        <f t="shared" si="7"/>
        <v>0</v>
      </c>
      <c r="C147" s="1" t="s">
        <v>179</v>
      </c>
      <c r="D147" s="1" t="s">
        <v>888</v>
      </c>
      <c r="E147" s="3" t="s">
        <v>889</v>
      </c>
      <c r="F147" s="32" t="s">
        <v>890</v>
      </c>
      <c r="G147" s="1" t="s">
        <v>269</v>
      </c>
      <c r="H147" s="6">
        <f>COUNTIF(ValidTeams[],E147)</f>
        <v>0</v>
      </c>
    </row>
    <row r="148" spans="1:8" x14ac:dyDescent="0.25">
      <c r="A148" s="1">
        <v>17</v>
      </c>
      <c r="B148">
        <f t="shared" si="7"/>
        <v>4</v>
      </c>
      <c r="C148" s="1" t="s">
        <v>315</v>
      </c>
      <c r="D148" s="1" t="s">
        <v>23</v>
      </c>
      <c r="E148" s="3" t="s">
        <v>18</v>
      </c>
      <c r="F148" s="32" t="s">
        <v>891</v>
      </c>
      <c r="G148" s="1" t="s">
        <v>269</v>
      </c>
      <c r="H148" s="6">
        <f>COUNTIF(ValidTeams[],E148)</f>
        <v>1</v>
      </c>
    </row>
    <row r="149" spans="1:8" x14ac:dyDescent="0.25">
      <c r="A149" s="1">
        <v>18</v>
      </c>
      <c r="B149">
        <f t="shared" si="7"/>
        <v>0</v>
      </c>
      <c r="C149" s="1" t="s">
        <v>892</v>
      </c>
      <c r="D149" s="1" t="s">
        <v>893</v>
      </c>
      <c r="E149" s="3"/>
      <c r="F149" s="32" t="s">
        <v>894</v>
      </c>
      <c r="G149" s="1" t="s">
        <v>269</v>
      </c>
      <c r="H149" s="6">
        <f>COUNTIF(ValidTeams[],E149)</f>
        <v>0</v>
      </c>
    </row>
    <row r="150" spans="1:8" x14ac:dyDescent="0.25">
      <c r="A150">
        <v>19</v>
      </c>
      <c r="B150">
        <f t="shared" si="7"/>
        <v>0</v>
      </c>
      <c r="C150" t="s">
        <v>895</v>
      </c>
      <c r="D150" t="s">
        <v>105</v>
      </c>
      <c r="E150"/>
      <c r="F150" s="28">
        <v>1.5674768518518518E-2</v>
      </c>
      <c r="G150" t="s">
        <v>269</v>
      </c>
      <c r="H150">
        <f>COUNTIF(ValidTeams[],E150)</f>
        <v>0</v>
      </c>
    </row>
    <row r="151" spans="1:8" x14ac:dyDescent="0.25">
      <c r="A151">
        <v>20</v>
      </c>
      <c r="B151">
        <f t="shared" si="7"/>
        <v>1</v>
      </c>
      <c r="C151" t="s">
        <v>630</v>
      </c>
      <c r="D151" t="s">
        <v>511</v>
      </c>
      <c r="E151" t="s">
        <v>345</v>
      </c>
      <c r="F151" s="28">
        <v>1.6119212962962964E-2</v>
      </c>
      <c r="G151" t="s">
        <v>269</v>
      </c>
      <c r="H151">
        <f>COUNTIF(ValidTeams[],E151)</f>
        <v>1</v>
      </c>
    </row>
    <row r="152" spans="1:8" x14ac:dyDescent="0.25">
      <c r="A152">
        <v>21</v>
      </c>
      <c r="B152">
        <f t="shared" si="7"/>
        <v>0</v>
      </c>
      <c r="C152" t="s">
        <v>327</v>
      </c>
      <c r="D152" t="s">
        <v>257</v>
      </c>
      <c r="E152"/>
      <c r="F152" s="28">
        <v>1.9263888888888889E-2</v>
      </c>
      <c r="G152" t="s">
        <v>269</v>
      </c>
      <c r="H152">
        <f>COUNTIF(ValidTeams[],E152)</f>
        <v>0</v>
      </c>
    </row>
    <row r="153" spans="1:8" x14ac:dyDescent="0.25">
      <c r="A153">
        <v>22</v>
      </c>
      <c r="B153">
        <f t="shared" si="7"/>
        <v>0</v>
      </c>
      <c r="E153"/>
      <c r="G153" t="s">
        <v>269</v>
      </c>
      <c r="H153">
        <f>COUNTIF(ValidTeams[],E153)</f>
        <v>0</v>
      </c>
    </row>
    <row r="154" spans="1:8" x14ac:dyDescent="0.25">
      <c r="F154" s="29"/>
    </row>
    <row r="155" spans="1:8" x14ac:dyDescent="0.25">
      <c r="A155" s="4" t="s">
        <v>0</v>
      </c>
      <c r="B155" s="4" t="s">
        <v>73</v>
      </c>
      <c r="C155" s="4" t="s">
        <v>1</v>
      </c>
      <c r="D155" s="4" t="s">
        <v>2</v>
      </c>
      <c r="E155" s="5" t="s">
        <v>3</v>
      </c>
      <c r="F155" s="31" t="s">
        <v>4</v>
      </c>
      <c r="G155" s="4" t="s">
        <v>5</v>
      </c>
      <c r="H155" s="4" t="s">
        <v>72</v>
      </c>
    </row>
    <row r="156" spans="1:8" x14ac:dyDescent="0.25">
      <c r="A156" s="1">
        <v>1</v>
      </c>
      <c r="B156">
        <f t="shared" ref="B156:B165" si="8">IF(H156=1,MAX(21-A156,0),0)</f>
        <v>20</v>
      </c>
      <c r="C156" s="1" t="s">
        <v>883</v>
      </c>
      <c r="D156" s="1" t="s">
        <v>665</v>
      </c>
      <c r="E156" s="3" t="s">
        <v>448</v>
      </c>
      <c r="F156" s="32" t="s">
        <v>896</v>
      </c>
      <c r="G156" s="1" t="s">
        <v>331</v>
      </c>
      <c r="H156" s="6">
        <f>COUNTIF(ValidTeams[],E156)</f>
        <v>1</v>
      </c>
    </row>
    <row r="157" spans="1:8" x14ac:dyDescent="0.25">
      <c r="A157" s="1">
        <v>2</v>
      </c>
      <c r="B157">
        <f t="shared" si="8"/>
        <v>19</v>
      </c>
      <c r="C157" s="1" t="s">
        <v>332</v>
      </c>
      <c r="D157" s="1" t="s">
        <v>333</v>
      </c>
      <c r="E157" s="3" t="s">
        <v>38</v>
      </c>
      <c r="F157" s="32" t="s">
        <v>897</v>
      </c>
      <c r="G157" s="1" t="s">
        <v>331</v>
      </c>
      <c r="H157" s="6">
        <f>COUNTIF(ValidTeams[],E157)</f>
        <v>1</v>
      </c>
    </row>
    <row r="158" spans="1:8" x14ac:dyDescent="0.25">
      <c r="A158" s="1">
        <v>3</v>
      </c>
      <c r="B158">
        <f t="shared" si="8"/>
        <v>18</v>
      </c>
      <c r="C158" s="1" t="s">
        <v>898</v>
      </c>
      <c r="D158" s="1" t="s">
        <v>899</v>
      </c>
      <c r="E158" s="3" t="s">
        <v>31</v>
      </c>
      <c r="F158" s="32" t="s">
        <v>900</v>
      </c>
      <c r="G158" s="1" t="s">
        <v>331</v>
      </c>
      <c r="H158" s="6">
        <f>COUNTIF(ValidTeams[],E158)</f>
        <v>1</v>
      </c>
    </row>
    <row r="159" spans="1:8" x14ac:dyDescent="0.25">
      <c r="A159" s="1">
        <v>4</v>
      </c>
      <c r="B159">
        <f t="shared" si="8"/>
        <v>17</v>
      </c>
      <c r="C159" s="1" t="s">
        <v>6</v>
      </c>
      <c r="D159" s="1" t="s">
        <v>341</v>
      </c>
      <c r="E159" s="3" t="s">
        <v>8</v>
      </c>
      <c r="F159" s="32" t="s">
        <v>901</v>
      </c>
      <c r="G159" s="1" t="s">
        <v>331</v>
      </c>
      <c r="H159" s="6">
        <f>COUNTIF(ValidTeams[],E159)</f>
        <v>1</v>
      </c>
    </row>
    <row r="160" spans="1:8" x14ac:dyDescent="0.25">
      <c r="A160" s="1">
        <v>5</v>
      </c>
      <c r="B160">
        <f t="shared" si="8"/>
        <v>16</v>
      </c>
      <c r="C160" s="1" t="s">
        <v>902</v>
      </c>
      <c r="D160" s="1" t="s">
        <v>903</v>
      </c>
      <c r="E160" s="3" t="s">
        <v>222</v>
      </c>
      <c r="F160" s="32" t="s">
        <v>904</v>
      </c>
      <c r="G160" s="1" t="s">
        <v>331</v>
      </c>
      <c r="H160" s="6">
        <f>COUNTIF(ValidTeams[],E160)</f>
        <v>1</v>
      </c>
    </row>
    <row r="161" spans="1:8" x14ac:dyDescent="0.25">
      <c r="A161" s="1">
        <v>6</v>
      </c>
      <c r="B161">
        <f t="shared" si="8"/>
        <v>15</v>
      </c>
      <c r="C161" s="1" t="s">
        <v>905</v>
      </c>
      <c r="D161" s="1" t="s">
        <v>67</v>
      </c>
      <c r="E161" s="3" t="s">
        <v>31</v>
      </c>
      <c r="F161" s="32" t="s">
        <v>849</v>
      </c>
      <c r="G161" s="1" t="s">
        <v>331</v>
      </c>
      <c r="H161" s="6">
        <f>COUNTIF(ValidTeams[],E161)</f>
        <v>1</v>
      </c>
    </row>
    <row r="162" spans="1:8" x14ac:dyDescent="0.25">
      <c r="A162" s="1">
        <v>7</v>
      </c>
      <c r="B162">
        <f t="shared" si="8"/>
        <v>14</v>
      </c>
      <c r="C162" s="1" t="s">
        <v>906</v>
      </c>
      <c r="D162" s="1" t="s">
        <v>907</v>
      </c>
      <c r="E162" s="3" t="s">
        <v>31</v>
      </c>
      <c r="F162" s="32" t="s">
        <v>908</v>
      </c>
      <c r="G162" s="1" t="s">
        <v>331</v>
      </c>
      <c r="H162" s="6">
        <f>COUNTIF(ValidTeams[],E162)</f>
        <v>1</v>
      </c>
    </row>
    <row r="163" spans="1:8" x14ac:dyDescent="0.25">
      <c r="A163" s="1">
        <v>8</v>
      </c>
      <c r="B163">
        <f t="shared" si="8"/>
        <v>13</v>
      </c>
      <c r="C163" s="1" t="s">
        <v>351</v>
      </c>
      <c r="D163" s="1" t="s">
        <v>352</v>
      </c>
      <c r="E163" s="3" t="s">
        <v>38</v>
      </c>
      <c r="F163" s="32" t="s">
        <v>909</v>
      </c>
      <c r="G163" s="1" t="s">
        <v>331</v>
      </c>
      <c r="H163" s="6">
        <f>COUNTIF(ValidTeams[],E163)</f>
        <v>1</v>
      </c>
    </row>
    <row r="164" spans="1:8" x14ac:dyDescent="0.25">
      <c r="A164" s="1">
        <v>9</v>
      </c>
      <c r="B164">
        <f t="shared" si="8"/>
        <v>12</v>
      </c>
      <c r="C164" t="s">
        <v>356</v>
      </c>
      <c r="D164" t="s">
        <v>357</v>
      </c>
      <c r="E164" t="s">
        <v>100</v>
      </c>
      <c r="F164" s="28">
        <v>1.8671296296296297E-2</v>
      </c>
      <c r="G164" s="1" t="s">
        <v>331</v>
      </c>
      <c r="H164" s="6">
        <f>COUNTIF(ValidTeams[],E164)</f>
        <v>1</v>
      </c>
    </row>
    <row r="165" spans="1:8" x14ac:dyDescent="0.25">
      <c r="A165" s="1">
        <v>10</v>
      </c>
      <c r="B165">
        <f t="shared" si="8"/>
        <v>11</v>
      </c>
      <c r="C165" t="s">
        <v>354</v>
      </c>
      <c r="D165" t="s">
        <v>81</v>
      </c>
      <c r="E165" t="s">
        <v>91</v>
      </c>
      <c r="F165" s="28">
        <v>1.8697916666666668E-2</v>
      </c>
      <c r="G165" s="1" t="s">
        <v>331</v>
      </c>
      <c r="H165" s="6">
        <f>COUNTIF(ValidTeams[],E165)</f>
        <v>1</v>
      </c>
    </row>
    <row r="166" spans="1:8" x14ac:dyDescent="0.25">
      <c r="A166" s="1">
        <v>11</v>
      </c>
      <c r="B166" s="1">
        <f>IF(H166=1,MAX(21-A166,0),0)</f>
        <v>0</v>
      </c>
      <c r="C166" t="s">
        <v>910</v>
      </c>
      <c r="D166" t="s">
        <v>911</v>
      </c>
      <c r="E166" t="s">
        <v>912</v>
      </c>
      <c r="F166" s="28">
        <v>1.8966435185185187E-2</v>
      </c>
      <c r="G166" s="1" t="s">
        <v>331</v>
      </c>
      <c r="H166" s="6">
        <f>COUNTIF(ValidTeams[],E166)</f>
        <v>0</v>
      </c>
    </row>
    <row r="167" spans="1:8" x14ac:dyDescent="0.25">
      <c r="A167" s="6"/>
      <c r="B167" s="6"/>
      <c r="C167" s="6"/>
      <c r="D167" s="6"/>
      <c r="E167" s="21"/>
      <c r="F167" s="33"/>
      <c r="G167" s="6"/>
      <c r="H167" s="34"/>
    </row>
    <row r="168" spans="1:8" x14ac:dyDescent="0.25">
      <c r="A168" s="4" t="s">
        <v>0</v>
      </c>
      <c r="B168" s="4" t="s">
        <v>73</v>
      </c>
      <c r="C168" s="4" t="s">
        <v>1</v>
      </c>
      <c r="D168" s="4" t="s">
        <v>2</v>
      </c>
      <c r="E168" s="5" t="s">
        <v>3</v>
      </c>
      <c r="F168" s="31" t="s">
        <v>4</v>
      </c>
      <c r="G168" s="4" t="s">
        <v>5</v>
      </c>
      <c r="H168" s="4" t="s">
        <v>72</v>
      </c>
    </row>
    <row r="169" spans="1:8" x14ac:dyDescent="0.25">
      <c r="A169" s="1">
        <v>1</v>
      </c>
      <c r="B169">
        <f t="shared" ref="B169:B182" si="9">IF(H169=1,MAX(21-A169,0),0)</f>
        <v>20</v>
      </c>
      <c r="C169" s="6" t="s">
        <v>941</v>
      </c>
      <c r="D169" s="6" t="s">
        <v>942</v>
      </c>
      <c r="E169" s="21" t="s">
        <v>38</v>
      </c>
      <c r="F169" s="33" t="s">
        <v>944</v>
      </c>
      <c r="G169" s="1" t="s">
        <v>363</v>
      </c>
      <c r="H169" s="6">
        <f>COUNTIF(ValidTeams[],E169)</f>
        <v>1</v>
      </c>
    </row>
    <row r="170" spans="1:8" x14ac:dyDescent="0.25">
      <c r="A170" s="1">
        <v>2</v>
      </c>
      <c r="B170">
        <f t="shared" si="9"/>
        <v>19</v>
      </c>
      <c r="C170" s="6" t="s">
        <v>943</v>
      </c>
      <c r="D170" s="6" t="s">
        <v>128</v>
      </c>
      <c r="E170" s="3" t="s">
        <v>222</v>
      </c>
      <c r="F170" s="32" t="s">
        <v>945</v>
      </c>
      <c r="G170" s="1" t="s">
        <v>363</v>
      </c>
      <c r="H170" s="6">
        <f>COUNTIF(ValidTeams[],E170)</f>
        <v>1</v>
      </c>
    </row>
    <row r="171" spans="1:8" x14ac:dyDescent="0.25">
      <c r="A171" s="1">
        <v>3</v>
      </c>
      <c r="B171">
        <f t="shared" si="9"/>
        <v>18</v>
      </c>
      <c r="C171" s="6" t="s">
        <v>645</v>
      </c>
      <c r="D171" s="6" t="s">
        <v>646</v>
      </c>
      <c r="E171" s="3" t="s">
        <v>345</v>
      </c>
      <c r="F171" s="32" t="s">
        <v>946</v>
      </c>
      <c r="G171" s="1" t="s">
        <v>363</v>
      </c>
      <c r="H171" s="6">
        <f>COUNTIF(ValidTeams[],E171)</f>
        <v>1</v>
      </c>
    </row>
    <row r="172" spans="1:8" x14ac:dyDescent="0.25">
      <c r="A172" s="1">
        <v>4</v>
      </c>
      <c r="B172">
        <f t="shared" si="9"/>
        <v>17</v>
      </c>
      <c r="C172" s="6" t="s">
        <v>388</v>
      </c>
      <c r="D172" s="6" t="s">
        <v>30</v>
      </c>
      <c r="E172" s="3" t="s">
        <v>389</v>
      </c>
      <c r="F172" s="32" t="s">
        <v>947</v>
      </c>
      <c r="G172" s="1" t="s">
        <v>363</v>
      </c>
      <c r="H172" s="6">
        <f>COUNTIF(ValidTeams[],E172)</f>
        <v>1</v>
      </c>
    </row>
    <row r="173" spans="1:8" x14ac:dyDescent="0.25">
      <c r="A173" s="1">
        <v>5</v>
      </c>
      <c r="B173">
        <f t="shared" si="9"/>
        <v>16</v>
      </c>
      <c r="C173" s="6" t="s">
        <v>948</v>
      </c>
      <c r="D173" s="6" t="s">
        <v>949</v>
      </c>
      <c r="E173" s="3" t="s">
        <v>506</v>
      </c>
      <c r="F173" s="32" t="s">
        <v>950</v>
      </c>
      <c r="G173" s="1" t="s">
        <v>363</v>
      </c>
      <c r="H173" s="6">
        <f>COUNTIF(ValidTeams[],E173)</f>
        <v>1</v>
      </c>
    </row>
    <row r="174" spans="1:8" x14ac:dyDescent="0.25">
      <c r="A174" s="1">
        <v>6</v>
      </c>
      <c r="B174">
        <f t="shared" si="9"/>
        <v>0</v>
      </c>
      <c r="C174" s="6" t="s">
        <v>951</v>
      </c>
      <c r="D174" s="6" t="s">
        <v>952</v>
      </c>
      <c r="E174" s="3" t="s">
        <v>953</v>
      </c>
      <c r="F174" s="32" t="s">
        <v>954</v>
      </c>
      <c r="G174" s="1" t="s">
        <v>363</v>
      </c>
      <c r="H174" s="6">
        <f>COUNTIF(ValidTeams[],E174)</f>
        <v>0</v>
      </c>
    </row>
    <row r="175" spans="1:8" x14ac:dyDescent="0.25">
      <c r="A175" s="1">
        <v>7</v>
      </c>
      <c r="B175">
        <f t="shared" si="9"/>
        <v>14</v>
      </c>
      <c r="C175" s="6" t="s">
        <v>956</v>
      </c>
      <c r="D175" s="6" t="s">
        <v>595</v>
      </c>
      <c r="E175" s="3" t="s">
        <v>18</v>
      </c>
      <c r="F175" s="32" t="s">
        <v>955</v>
      </c>
      <c r="G175" s="1" t="s">
        <v>363</v>
      </c>
      <c r="H175" s="6">
        <f>COUNTIF(ValidTeams[],E175)</f>
        <v>1</v>
      </c>
    </row>
    <row r="176" spans="1:8" x14ac:dyDescent="0.25">
      <c r="A176" s="1">
        <v>8</v>
      </c>
      <c r="B176">
        <f t="shared" si="9"/>
        <v>13</v>
      </c>
      <c r="C176" s="6" t="s">
        <v>66</v>
      </c>
      <c r="D176" s="6" t="s">
        <v>176</v>
      </c>
      <c r="E176" s="3" t="s">
        <v>442</v>
      </c>
      <c r="F176" s="32" t="s">
        <v>957</v>
      </c>
      <c r="G176" s="1" t="s">
        <v>363</v>
      </c>
      <c r="H176" s="6">
        <f>COUNTIF(ValidTeams[],E176)</f>
        <v>1</v>
      </c>
    </row>
    <row r="177" spans="1:8" x14ac:dyDescent="0.25">
      <c r="A177">
        <v>9</v>
      </c>
      <c r="B177">
        <f t="shared" si="9"/>
        <v>12</v>
      </c>
      <c r="C177" s="6" t="s">
        <v>958</v>
      </c>
      <c r="D177" s="6" t="s">
        <v>959</v>
      </c>
      <c r="E177" s="3" t="s">
        <v>504</v>
      </c>
      <c r="F177" s="32" t="s">
        <v>960</v>
      </c>
      <c r="G177" t="s">
        <v>363</v>
      </c>
      <c r="H177" s="6">
        <f>COUNTIF(ValidTeams[],E177)</f>
        <v>1</v>
      </c>
    </row>
    <row r="178" spans="1:8" x14ac:dyDescent="0.25">
      <c r="A178">
        <v>10</v>
      </c>
      <c r="B178">
        <f t="shared" si="9"/>
        <v>0</v>
      </c>
      <c r="C178" s="6" t="s">
        <v>961</v>
      </c>
      <c r="D178" s="6" t="s">
        <v>360</v>
      </c>
      <c r="E178" s="3"/>
      <c r="F178" s="32" t="s">
        <v>962</v>
      </c>
      <c r="G178" t="s">
        <v>363</v>
      </c>
      <c r="H178" s="6">
        <f>COUNTIF(ValidTeams[],E178)</f>
        <v>0</v>
      </c>
    </row>
    <row r="179" spans="1:8" x14ac:dyDescent="0.25">
      <c r="A179">
        <v>11</v>
      </c>
      <c r="B179">
        <f t="shared" si="9"/>
        <v>10</v>
      </c>
      <c r="C179" s="6" t="s">
        <v>365</v>
      </c>
      <c r="D179" s="6" t="s">
        <v>366</v>
      </c>
      <c r="E179" s="3" t="s">
        <v>222</v>
      </c>
      <c r="F179" s="32" t="s">
        <v>963</v>
      </c>
      <c r="G179" t="s">
        <v>363</v>
      </c>
      <c r="H179" s="6">
        <f>COUNTIF(ValidTeams[],E179)</f>
        <v>1</v>
      </c>
    </row>
    <row r="180" spans="1:8" x14ac:dyDescent="0.25">
      <c r="A180">
        <v>12</v>
      </c>
      <c r="B180">
        <f t="shared" si="9"/>
        <v>0</v>
      </c>
      <c r="C180" t="s">
        <v>964</v>
      </c>
      <c r="D180" t="s">
        <v>11</v>
      </c>
      <c r="E180" s="27"/>
      <c r="F180" s="28">
        <v>1.3521990740740742E-2</v>
      </c>
      <c r="G180" t="s">
        <v>363</v>
      </c>
      <c r="H180" s="6">
        <f>COUNTIF(ValidTeams[],E180)</f>
        <v>0</v>
      </c>
    </row>
    <row r="181" spans="1:8" x14ac:dyDescent="0.25">
      <c r="A181">
        <v>13</v>
      </c>
      <c r="B181">
        <f t="shared" si="9"/>
        <v>0</v>
      </c>
      <c r="C181" t="s">
        <v>965</v>
      </c>
      <c r="D181" t="s">
        <v>966</v>
      </c>
      <c r="E181" t="s">
        <v>967</v>
      </c>
      <c r="F181" s="28">
        <v>1.3599537037037037E-2</v>
      </c>
      <c r="G181" t="s">
        <v>363</v>
      </c>
      <c r="H181" s="6">
        <f>COUNTIF(ValidTeams[],E181)</f>
        <v>0</v>
      </c>
    </row>
    <row r="182" spans="1:8" x14ac:dyDescent="0.25">
      <c r="A182">
        <v>14</v>
      </c>
      <c r="B182">
        <f t="shared" si="9"/>
        <v>7</v>
      </c>
      <c r="C182" t="s">
        <v>968</v>
      </c>
      <c r="D182" t="s">
        <v>383</v>
      </c>
      <c r="E182" t="s">
        <v>18</v>
      </c>
      <c r="F182" s="28">
        <v>1.3859953703703702E-2</v>
      </c>
      <c r="G182" t="s">
        <v>363</v>
      </c>
      <c r="H182" s="6">
        <f>COUNTIF(ValidTeams[],E182)</f>
        <v>1</v>
      </c>
    </row>
    <row r="183" spans="1:8" x14ac:dyDescent="0.25">
      <c r="A183" s="1">
        <v>15</v>
      </c>
      <c r="B183" s="1">
        <f t="shared" ref="B183:B190" si="10">IF(H183=1,MAX(21-A183,0),0)</f>
        <v>6</v>
      </c>
      <c r="C183" s="1" t="s">
        <v>370</v>
      </c>
      <c r="D183" s="1" t="s">
        <v>281</v>
      </c>
      <c r="E183" s="3" t="s">
        <v>267</v>
      </c>
      <c r="F183" s="32" t="s">
        <v>969</v>
      </c>
      <c r="G183" s="1" t="s">
        <v>363</v>
      </c>
      <c r="H183" s="24">
        <f>COUNTIF(ValidTeams[],E183)</f>
        <v>1</v>
      </c>
    </row>
    <row r="184" spans="1:8" x14ac:dyDescent="0.25">
      <c r="A184" s="1">
        <v>16</v>
      </c>
      <c r="B184" s="1">
        <f t="shared" si="10"/>
        <v>5</v>
      </c>
      <c r="C184" s="1" t="s">
        <v>372</v>
      </c>
      <c r="D184" s="1" t="s">
        <v>278</v>
      </c>
      <c r="E184" s="3" t="s">
        <v>267</v>
      </c>
      <c r="F184" s="32" t="s">
        <v>970</v>
      </c>
      <c r="G184" s="1" t="s">
        <v>363</v>
      </c>
      <c r="H184" s="24">
        <f>COUNTIF(ValidTeams[],E184)</f>
        <v>1</v>
      </c>
    </row>
    <row r="185" spans="1:8" x14ac:dyDescent="0.25">
      <c r="A185" s="1">
        <v>17</v>
      </c>
      <c r="B185" s="1">
        <f t="shared" si="10"/>
        <v>0</v>
      </c>
      <c r="C185" s="1" t="s">
        <v>971</v>
      </c>
      <c r="D185" s="1" t="s">
        <v>972</v>
      </c>
      <c r="E185" s="3"/>
      <c r="F185" s="32" t="s">
        <v>973</v>
      </c>
      <c r="G185" s="1" t="s">
        <v>363</v>
      </c>
      <c r="H185" s="24">
        <f>COUNTIF(ValidTeams[],E185)</f>
        <v>0</v>
      </c>
    </row>
    <row r="186" spans="1:8" x14ac:dyDescent="0.25">
      <c r="A186" s="1">
        <v>18</v>
      </c>
      <c r="B186" s="1">
        <f t="shared" si="10"/>
        <v>3</v>
      </c>
      <c r="C186" s="1" t="s">
        <v>974</v>
      </c>
      <c r="D186" s="1" t="s">
        <v>975</v>
      </c>
      <c r="E186" s="3" t="s">
        <v>313</v>
      </c>
      <c r="F186" s="32" t="s">
        <v>976</v>
      </c>
      <c r="G186" s="1" t="s">
        <v>363</v>
      </c>
      <c r="H186" s="24">
        <f>COUNTIF(ValidTeams[],E186)</f>
        <v>1</v>
      </c>
    </row>
    <row r="187" spans="1:8" x14ac:dyDescent="0.25">
      <c r="A187" s="1">
        <v>19</v>
      </c>
      <c r="B187" s="1">
        <f t="shared" si="10"/>
        <v>2</v>
      </c>
      <c r="C187" s="1" t="s">
        <v>309</v>
      </c>
      <c r="D187" s="1" t="s">
        <v>310</v>
      </c>
      <c r="E187" t="s">
        <v>505</v>
      </c>
      <c r="F187" s="32" t="s">
        <v>977</v>
      </c>
      <c r="G187" s="1" t="s">
        <v>363</v>
      </c>
      <c r="H187" s="24">
        <f>COUNTIF(ValidTeams[],E187)</f>
        <v>1</v>
      </c>
    </row>
    <row r="188" spans="1:8" x14ac:dyDescent="0.25">
      <c r="A188" s="1">
        <v>20</v>
      </c>
      <c r="B188" s="1">
        <f t="shared" si="10"/>
        <v>1</v>
      </c>
      <c r="C188" s="1" t="s">
        <v>388</v>
      </c>
      <c r="D188" s="1" t="s">
        <v>33</v>
      </c>
      <c r="E188" s="3" t="s">
        <v>389</v>
      </c>
      <c r="F188" s="32" t="s">
        <v>812</v>
      </c>
      <c r="G188" s="1" t="s">
        <v>363</v>
      </c>
      <c r="H188" s="24">
        <f>COUNTIF(ValidTeams[],E188)</f>
        <v>1</v>
      </c>
    </row>
    <row r="189" spans="1:8" x14ac:dyDescent="0.25">
      <c r="A189" s="1">
        <v>21</v>
      </c>
      <c r="B189" s="1">
        <f t="shared" si="10"/>
        <v>0</v>
      </c>
      <c r="C189" s="1" t="s">
        <v>978</v>
      </c>
      <c r="D189" s="1" t="s">
        <v>979</v>
      </c>
      <c r="E189" s="3"/>
      <c r="F189" s="32" t="s">
        <v>980</v>
      </c>
      <c r="G189" s="1" t="s">
        <v>363</v>
      </c>
      <c r="H189" s="24">
        <f>COUNTIF(ValidTeams[],E189)</f>
        <v>0</v>
      </c>
    </row>
    <row r="190" spans="1:8" x14ac:dyDescent="0.25">
      <c r="A190" s="1">
        <v>22</v>
      </c>
      <c r="B190" s="1">
        <f t="shared" si="10"/>
        <v>0</v>
      </c>
      <c r="C190" s="1" t="s">
        <v>94</v>
      </c>
      <c r="D190" s="1" t="s">
        <v>394</v>
      </c>
      <c r="E190" s="3" t="s">
        <v>91</v>
      </c>
      <c r="F190" s="32" t="s">
        <v>981</v>
      </c>
      <c r="G190" s="1" t="s">
        <v>363</v>
      </c>
      <c r="H190" s="24">
        <f>COUNTIF(ValidTeams[],E190)</f>
        <v>1</v>
      </c>
    </row>
    <row r="191" spans="1:8" x14ac:dyDescent="0.25">
      <c r="A191" s="6"/>
      <c r="B191" s="6"/>
      <c r="C191" s="6"/>
      <c r="D191" s="6"/>
      <c r="E191" s="21"/>
      <c r="F191" s="33"/>
      <c r="G191" s="6"/>
      <c r="H191" s="34"/>
    </row>
    <row r="192" spans="1:8" x14ac:dyDescent="0.25">
      <c r="A192" s="4" t="s">
        <v>0</v>
      </c>
      <c r="B192" s="4" t="s">
        <v>73</v>
      </c>
      <c r="C192" s="4" t="s">
        <v>1</v>
      </c>
      <c r="D192" s="4" t="s">
        <v>2</v>
      </c>
      <c r="E192" s="5" t="s">
        <v>3</v>
      </c>
      <c r="F192" s="31" t="s">
        <v>4</v>
      </c>
      <c r="G192" s="4" t="s">
        <v>5</v>
      </c>
      <c r="H192" s="4" t="s">
        <v>72</v>
      </c>
    </row>
    <row r="193" spans="1:8" x14ac:dyDescent="0.25">
      <c r="A193" s="1">
        <v>1</v>
      </c>
      <c r="B193">
        <f t="shared" ref="B193:B195" si="11">IF(H193=1,MAX(21-A193,0),0)</f>
        <v>0</v>
      </c>
      <c r="C193" s="1" t="s">
        <v>913</v>
      </c>
      <c r="D193" s="1" t="s">
        <v>67</v>
      </c>
      <c r="E193" s="3" t="s">
        <v>914</v>
      </c>
      <c r="F193" s="32" t="s">
        <v>915</v>
      </c>
      <c r="G193" s="1" t="s">
        <v>399</v>
      </c>
      <c r="H193" s="6">
        <f>COUNTIF(ValidTeams[],E193)</f>
        <v>0</v>
      </c>
    </row>
    <row r="194" spans="1:8" x14ac:dyDescent="0.25">
      <c r="A194" s="1">
        <v>2</v>
      </c>
      <c r="B194">
        <f t="shared" si="11"/>
        <v>19</v>
      </c>
      <c r="C194" s="1" t="s">
        <v>916</v>
      </c>
      <c r="D194" s="1" t="s">
        <v>917</v>
      </c>
      <c r="E194" s="3" t="s">
        <v>49</v>
      </c>
      <c r="F194" s="32" t="s">
        <v>918</v>
      </c>
      <c r="G194" s="1" t="s">
        <v>399</v>
      </c>
      <c r="H194" s="6">
        <f>COUNTIF(ValidTeams[],E194)</f>
        <v>1</v>
      </c>
    </row>
    <row r="195" spans="1:8" x14ac:dyDescent="0.25">
      <c r="A195" s="1">
        <v>3</v>
      </c>
      <c r="B195">
        <f t="shared" si="11"/>
        <v>18</v>
      </c>
      <c r="C195" s="1" t="s">
        <v>400</v>
      </c>
      <c r="D195" s="1" t="s">
        <v>401</v>
      </c>
      <c r="E195" s="3" t="s">
        <v>290</v>
      </c>
      <c r="F195" s="32" t="s">
        <v>919</v>
      </c>
      <c r="G195" s="1" t="s">
        <v>399</v>
      </c>
      <c r="H195" s="6">
        <f>COUNTIF(ValidTeams[],E195)</f>
        <v>1</v>
      </c>
    </row>
    <row r="196" spans="1:8" x14ac:dyDescent="0.25">
      <c r="A196" s="1">
        <v>4</v>
      </c>
      <c r="B196" s="1">
        <f>IF(H196=1,MAX(21-A196,0),0)</f>
        <v>17</v>
      </c>
      <c r="C196" s="1" t="s">
        <v>920</v>
      </c>
      <c r="D196" s="1" t="s">
        <v>921</v>
      </c>
      <c r="E196" s="3" t="s">
        <v>38</v>
      </c>
      <c r="F196" s="32" t="s">
        <v>922</v>
      </c>
      <c r="G196" s="1" t="s">
        <v>399</v>
      </c>
      <c r="H196" s="24">
        <f>COUNTIF(ValidTeams[],E196)</f>
        <v>1</v>
      </c>
    </row>
    <row r="197" spans="1:8" x14ac:dyDescent="0.25">
      <c r="A197" s="1">
        <v>5</v>
      </c>
      <c r="B197" s="1">
        <f>IF(H197=1,MAX(21-A197,0),0)</f>
        <v>16</v>
      </c>
      <c r="C197" s="1" t="s">
        <v>354</v>
      </c>
      <c r="D197" s="1" t="s">
        <v>81</v>
      </c>
      <c r="E197" s="3" t="s">
        <v>91</v>
      </c>
      <c r="F197" s="32" t="s">
        <v>923</v>
      </c>
      <c r="G197" s="1" t="s">
        <v>399</v>
      </c>
      <c r="H197" s="24">
        <f>COUNTIF(ValidTeams[],E197)</f>
        <v>1</v>
      </c>
    </row>
    <row r="198" spans="1:8" x14ac:dyDescent="0.25">
      <c r="A198" s="6"/>
      <c r="B198" s="6"/>
      <c r="C198" s="6"/>
      <c r="D198" s="6"/>
      <c r="E198" s="21"/>
      <c r="F198" s="33"/>
      <c r="G198" s="6"/>
      <c r="H198" s="34"/>
    </row>
    <row r="199" spans="1:8" x14ac:dyDescent="0.25">
      <c r="A199" s="4" t="s">
        <v>0</v>
      </c>
      <c r="B199" s="4" t="s">
        <v>73</v>
      </c>
      <c r="C199" s="4" t="s">
        <v>1</v>
      </c>
      <c r="D199" s="4" t="s">
        <v>2</v>
      </c>
      <c r="E199" s="5" t="s">
        <v>3</v>
      </c>
      <c r="F199" s="31" t="s">
        <v>4</v>
      </c>
      <c r="G199" s="4" t="s">
        <v>5</v>
      </c>
      <c r="H199" s="4" t="s">
        <v>72</v>
      </c>
    </row>
    <row r="200" spans="1:8" x14ac:dyDescent="0.25">
      <c r="A200" s="1">
        <v>1</v>
      </c>
      <c r="B200">
        <f t="shared" ref="B200:B206" si="12">IF(H200=1,MAX(21-A200,0),0)</f>
        <v>0</v>
      </c>
      <c r="C200" s="1" t="s">
        <v>982</v>
      </c>
      <c r="D200" s="1" t="s">
        <v>983</v>
      </c>
      <c r="E200" s="3" t="s">
        <v>984</v>
      </c>
      <c r="F200" s="32" t="s">
        <v>985</v>
      </c>
      <c r="G200" s="1" t="s">
        <v>405</v>
      </c>
      <c r="H200" s="6">
        <f>COUNTIF(ValidTeams[],E200)</f>
        <v>0</v>
      </c>
    </row>
    <row r="201" spans="1:8" x14ac:dyDescent="0.25">
      <c r="A201" s="1">
        <v>2</v>
      </c>
      <c r="B201">
        <f t="shared" si="12"/>
        <v>19</v>
      </c>
      <c r="C201" s="1" t="s">
        <v>411</v>
      </c>
      <c r="D201" s="1" t="s">
        <v>412</v>
      </c>
      <c r="E201" s="3" t="s">
        <v>413</v>
      </c>
      <c r="F201" s="32" t="s">
        <v>986</v>
      </c>
      <c r="G201" s="1" t="s">
        <v>405</v>
      </c>
      <c r="H201" s="6">
        <f>COUNTIF(ValidTeams[],E201)</f>
        <v>1</v>
      </c>
    </row>
    <row r="202" spans="1:8" x14ac:dyDescent="0.25">
      <c r="A202" s="1">
        <v>3</v>
      </c>
      <c r="B202">
        <f t="shared" si="12"/>
        <v>18</v>
      </c>
      <c r="C202" s="1" t="s">
        <v>902</v>
      </c>
      <c r="D202" s="1" t="s">
        <v>318</v>
      </c>
      <c r="E202" s="3" t="s">
        <v>222</v>
      </c>
      <c r="F202" s="32" t="s">
        <v>987</v>
      </c>
      <c r="G202" s="1" t="s">
        <v>405</v>
      </c>
      <c r="H202" s="6">
        <f>COUNTIF(ValidTeams[],E202)</f>
        <v>1</v>
      </c>
    </row>
    <row r="203" spans="1:8" x14ac:dyDescent="0.25">
      <c r="A203" s="1">
        <v>4</v>
      </c>
      <c r="B203">
        <f t="shared" si="12"/>
        <v>17</v>
      </c>
      <c r="C203" s="1" t="s">
        <v>409</v>
      </c>
      <c r="D203" s="1" t="s">
        <v>225</v>
      </c>
      <c r="E203" s="3" t="s">
        <v>88</v>
      </c>
      <c r="F203" s="32" t="s">
        <v>988</v>
      </c>
      <c r="G203" s="1" t="s">
        <v>405</v>
      </c>
      <c r="H203" s="6">
        <f>COUNTIF(ValidTeams[],E203)</f>
        <v>1</v>
      </c>
    </row>
    <row r="204" spans="1:8" x14ac:dyDescent="0.25">
      <c r="A204" s="1">
        <v>5</v>
      </c>
      <c r="B204">
        <f t="shared" si="12"/>
        <v>0</v>
      </c>
      <c r="C204" s="1" t="s">
        <v>989</v>
      </c>
      <c r="D204" s="1" t="s">
        <v>990</v>
      </c>
      <c r="E204" s="3" t="s">
        <v>797</v>
      </c>
      <c r="F204" s="32" t="s">
        <v>991</v>
      </c>
      <c r="G204" s="1" t="s">
        <v>405</v>
      </c>
      <c r="H204" s="6">
        <f>COUNTIF(ValidTeams[],E204)</f>
        <v>0</v>
      </c>
    </row>
    <row r="205" spans="1:8" x14ac:dyDescent="0.25">
      <c r="A205" s="1">
        <v>6</v>
      </c>
      <c r="B205">
        <f t="shared" si="12"/>
        <v>15</v>
      </c>
      <c r="C205" s="1" t="s">
        <v>415</v>
      </c>
      <c r="D205" s="1" t="s">
        <v>23</v>
      </c>
      <c r="E205" s="3" t="s">
        <v>38</v>
      </c>
      <c r="F205" s="32" t="s">
        <v>992</v>
      </c>
      <c r="G205" s="1" t="s">
        <v>405</v>
      </c>
      <c r="H205" s="6">
        <f>COUNTIF(ValidTeams[],E205)</f>
        <v>1</v>
      </c>
    </row>
    <row r="206" spans="1:8" x14ac:dyDescent="0.25">
      <c r="A206" s="1">
        <v>7</v>
      </c>
      <c r="B206">
        <f t="shared" si="12"/>
        <v>0</v>
      </c>
      <c r="C206" s="1" t="s">
        <v>993</v>
      </c>
      <c r="D206" s="1" t="s">
        <v>194</v>
      </c>
      <c r="E206" s="3" t="s">
        <v>994</v>
      </c>
      <c r="F206" s="32" t="s">
        <v>995</v>
      </c>
      <c r="G206" s="1" t="s">
        <v>405</v>
      </c>
      <c r="H206" s="6">
        <f>COUNTIF(ValidTeams[],E206)</f>
        <v>0</v>
      </c>
    </row>
    <row r="207" spans="1:8" x14ac:dyDescent="0.25">
      <c r="A207" s="1">
        <v>8</v>
      </c>
      <c r="B207" s="1">
        <f>IF(H207=1,MAX(21-A207,0),0)</f>
        <v>13</v>
      </c>
      <c r="C207" s="1" t="s">
        <v>351</v>
      </c>
      <c r="D207" s="1" t="s">
        <v>996</v>
      </c>
      <c r="E207" s="3" t="s">
        <v>506</v>
      </c>
      <c r="F207" s="32" t="s">
        <v>997</v>
      </c>
      <c r="G207" s="1" t="s">
        <v>405</v>
      </c>
      <c r="H207" s="24">
        <f>COUNTIF(ValidTeams[],E207)</f>
        <v>1</v>
      </c>
    </row>
    <row r="208" spans="1:8" x14ac:dyDescent="0.25">
      <c r="A208" s="1">
        <v>9</v>
      </c>
      <c r="B208" s="1">
        <f>IF(H208=1,MAX(21-A208,0),0)</f>
        <v>12</v>
      </c>
      <c r="C208" s="1" t="s">
        <v>417</v>
      </c>
      <c r="D208" s="1" t="s">
        <v>30</v>
      </c>
      <c r="E208" s="3" t="s">
        <v>418</v>
      </c>
      <c r="F208" s="32" t="s">
        <v>998</v>
      </c>
      <c r="G208" s="1" t="s">
        <v>405</v>
      </c>
      <c r="H208" s="24">
        <f>COUNTIF(ValidTeams[],E208)</f>
        <v>1</v>
      </c>
    </row>
    <row r="209" spans="1:8" x14ac:dyDescent="0.25">
      <c r="A209" s="1">
        <v>10</v>
      </c>
      <c r="B209" s="1">
        <f>IF(H209=1,MAX(21-A209,0),0)</f>
        <v>11</v>
      </c>
      <c r="C209" s="1" t="s">
        <v>999</v>
      </c>
      <c r="D209" s="1" t="s">
        <v>174</v>
      </c>
      <c r="E209" s="3" t="s">
        <v>18</v>
      </c>
      <c r="F209" s="32" t="s">
        <v>818</v>
      </c>
      <c r="G209" s="1" t="s">
        <v>405</v>
      </c>
      <c r="H209" s="24">
        <f>COUNTIF(ValidTeams[],E209)</f>
        <v>1</v>
      </c>
    </row>
    <row r="210" spans="1:8" x14ac:dyDescent="0.25">
      <c r="A210" s="1">
        <v>11</v>
      </c>
      <c r="B210" s="1">
        <f>IF(H210=1,MAX(21-A210,0),0)</f>
        <v>0</v>
      </c>
      <c r="C210" s="1" t="s">
        <v>750</v>
      </c>
      <c r="D210" s="1" t="s">
        <v>1000</v>
      </c>
      <c r="E210" s="3" t="s">
        <v>1001</v>
      </c>
      <c r="F210" s="32" t="s">
        <v>1002</v>
      </c>
      <c r="G210" s="1" t="s">
        <v>405</v>
      </c>
      <c r="H210" s="24">
        <f>COUNTIF(ValidTeams[],E210)</f>
        <v>0</v>
      </c>
    </row>
    <row r="211" spans="1:8" x14ac:dyDescent="0.25">
      <c r="A211" s="1">
        <v>12</v>
      </c>
      <c r="B211" s="1">
        <f>IF(H211=1,MAX(21-A211,0),0)</f>
        <v>0</v>
      </c>
      <c r="C211" s="1" t="s">
        <v>1003</v>
      </c>
      <c r="D211" s="1" t="s">
        <v>257</v>
      </c>
      <c r="E211" s="3" t="s">
        <v>679</v>
      </c>
      <c r="F211" s="32" t="s">
        <v>1004</v>
      </c>
      <c r="G211" s="1" t="s">
        <v>405</v>
      </c>
      <c r="H211" s="24">
        <f>COUNTIF(ValidTeams[],E211)</f>
        <v>0</v>
      </c>
    </row>
    <row r="212" spans="1:8" x14ac:dyDescent="0.25">
      <c r="A212" s="6"/>
      <c r="B212" s="6"/>
      <c r="C212" s="6"/>
      <c r="D212" s="6"/>
      <c r="E212" s="21"/>
      <c r="F212" s="33"/>
      <c r="G212" s="6"/>
      <c r="H212" s="34"/>
    </row>
    <row r="213" spans="1:8" x14ac:dyDescent="0.25">
      <c r="A213" s="4" t="s">
        <v>0</v>
      </c>
      <c r="B213" s="4" t="s">
        <v>73</v>
      </c>
      <c r="C213" s="4" t="s">
        <v>1</v>
      </c>
      <c r="D213" s="4" t="s">
        <v>2</v>
      </c>
      <c r="E213" s="5" t="s">
        <v>3</v>
      </c>
      <c r="F213" s="31" t="s">
        <v>4</v>
      </c>
      <c r="G213" s="4" t="s">
        <v>5</v>
      </c>
      <c r="H213" s="4" t="s">
        <v>72</v>
      </c>
    </row>
    <row r="214" spans="1:8" x14ac:dyDescent="0.25">
      <c r="A214" s="1">
        <v>1</v>
      </c>
      <c r="B214">
        <f t="shared" ref="B214:B216" si="13">IF(H214=1,MAX(21-A214,0),0)</f>
        <v>20</v>
      </c>
      <c r="C214" s="1" t="s">
        <v>577</v>
      </c>
      <c r="D214" s="1" t="s">
        <v>680</v>
      </c>
      <c r="E214" s="3" t="s">
        <v>681</v>
      </c>
      <c r="F214" s="32" t="s">
        <v>924</v>
      </c>
      <c r="G214" s="1" t="s">
        <v>426</v>
      </c>
      <c r="H214" s="6">
        <f>COUNTIF(ValidTeams[],E214)</f>
        <v>1</v>
      </c>
    </row>
    <row r="215" spans="1:8" x14ac:dyDescent="0.25">
      <c r="A215" s="1">
        <v>2</v>
      </c>
      <c r="B215">
        <f t="shared" si="13"/>
        <v>0</v>
      </c>
      <c r="C215" s="1" t="s">
        <v>273</v>
      </c>
      <c r="D215" s="1" t="s">
        <v>925</v>
      </c>
      <c r="E215" s="3" t="s">
        <v>926</v>
      </c>
      <c r="F215" s="32" t="s">
        <v>927</v>
      </c>
      <c r="G215" s="1" t="s">
        <v>426</v>
      </c>
      <c r="H215" s="6">
        <f>COUNTIF(ValidTeams[],E215)</f>
        <v>0</v>
      </c>
    </row>
    <row r="216" spans="1:8" x14ac:dyDescent="0.25">
      <c r="A216" s="1">
        <v>3</v>
      </c>
      <c r="B216">
        <f t="shared" si="13"/>
        <v>18</v>
      </c>
      <c r="C216" s="1" t="s">
        <v>928</v>
      </c>
      <c r="D216" s="1" t="s">
        <v>929</v>
      </c>
      <c r="E216" s="3" t="s">
        <v>191</v>
      </c>
      <c r="F216" s="32" t="s">
        <v>772</v>
      </c>
      <c r="G216" s="1" t="s">
        <v>426</v>
      </c>
      <c r="H216" s="6">
        <f>COUNTIF(ValidTeams[],E216)</f>
        <v>1</v>
      </c>
    </row>
    <row r="217" spans="1:8" x14ac:dyDescent="0.25">
      <c r="A217" s="1">
        <v>4</v>
      </c>
      <c r="B217" s="1">
        <f>IF(H217=1,MAX(21-A217,0),0)</f>
        <v>0</v>
      </c>
      <c r="C217" s="1" t="s">
        <v>779</v>
      </c>
      <c r="D217" s="1" t="s">
        <v>931</v>
      </c>
      <c r="E217" s="3" t="s">
        <v>932</v>
      </c>
      <c r="F217" s="32" t="s">
        <v>933</v>
      </c>
      <c r="G217" s="1" t="s">
        <v>426</v>
      </c>
      <c r="H217" s="24">
        <f>COUNTIF(ValidTeams[],E217)</f>
        <v>0</v>
      </c>
    </row>
    <row r="218" spans="1:8" x14ac:dyDescent="0.25">
      <c r="A218" s="1">
        <v>5</v>
      </c>
      <c r="B218" s="1">
        <f>IF(H218=1,MAX(21-A218,0),0)</f>
        <v>16</v>
      </c>
      <c r="C218" s="1" t="s">
        <v>427</v>
      </c>
      <c r="D218" s="1" t="s">
        <v>428</v>
      </c>
      <c r="E218" s="3" t="s">
        <v>191</v>
      </c>
      <c r="F218" s="32" t="s">
        <v>934</v>
      </c>
      <c r="G218" s="1" t="s">
        <v>426</v>
      </c>
      <c r="H218" s="24">
        <f>COUNTIF(ValidTeams[],E218)</f>
        <v>1</v>
      </c>
    </row>
    <row r="219" spans="1:8" x14ac:dyDescent="0.25">
      <c r="A219" s="1">
        <v>6</v>
      </c>
      <c r="B219" s="1">
        <f>IF(H219=1,MAX(21-A219,0),0)</f>
        <v>15</v>
      </c>
      <c r="C219" s="1" t="s">
        <v>935</v>
      </c>
      <c r="D219" s="1" t="s">
        <v>936</v>
      </c>
      <c r="E219" s="3" t="s">
        <v>49</v>
      </c>
      <c r="F219" s="32" t="s">
        <v>937</v>
      </c>
      <c r="G219" s="1" t="s">
        <v>426</v>
      </c>
      <c r="H219" s="24">
        <f>COUNTIF(ValidTeams[],E219)</f>
        <v>1</v>
      </c>
    </row>
    <row r="220" spans="1:8" x14ac:dyDescent="0.25">
      <c r="A220" s="1">
        <v>7</v>
      </c>
      <c r="B220" s="1">
        <f>IF(H220=1,MAX(21-A220,0),0)</f>
        <v>14</v>
      </c>
      <c r="C220" s="1" t="s">
        <v>732</v>
      </c>
      <c r="D220" s="1" t="s">
        <v>938</v>
      </c>
      <c r="E220" s="3" t="s">
        <v>100</v>
      </c>
      <c r="F220" s="32" t="s">
        <v>939</v>
      </c>
      <c r="G220" s="1" t="s">
        <v>426</v>
      </c>
      <c r="H220" s="24">
        <f>COUNTIF(ValidTeams[],E220)</f>
        <v>1</v>
      </c>
    </row>
    <row r="221" spans="1:8" x14ac:dyDescent="0.25">
      <c r="A221" s="1">
        <v>8</v>
      </c>
      <c r="B221" s="1">
        <f>IF(H221=1,MAX(21-A221,0),0)</f>
        <v>13</v>
      </c>
      <c r="C221" s="1" t="s">
        <v>430</v>
      </c>
      <c r="D221" s="1" t="s">
        <v>431</v>
      </c>
      <c r="E221" s="3" t="s">
        <v>100</v>
      </c>
      <c r="F221" s="32" t="s">
        <v>940</v>
      </c>
      <c r="G221" s="1" t="s">
        <v>426</v>
      </c>
      <c r="H221" s="24">
        <f>COUNTIF(ValidTeams[],E221)</f>
        <v>1</v>
      </c>
    </row>
    <row r="222" spans="1:8" x14ac:dyDescent="0.25">
      <c r="F222" s="29"/>
    </row>
    <row r="223" spans="1:8" x14ac:dyDescent="0.25">
      <c r="F223" s="29"/>
    </row>
    <row r="224" spans="1:8" x14ac:dyDescent="0.25">
      <c r="F224" s="29"/>
    </row>
    <row r="225" spans="6:6" x14ac:dyDescent="0.25">
      <c r="F225" s="29"/>
    </row>
    <row r="226" spans="6:6" x14ac:dyDescent="0.25">
      <c r="F226" s="29"/>
    </row>
    <row r="227" spans="6:6" x14ac:dyDescent="0.25">
      <c r="F227" s="29"/>
    </row>
    <row r="228" spans="6:6" x14ac:dyDescent="0.25">
      <c r="F228" s="29"/>
    </row>
    <row r="229" spans="6:6" x14ac:dyDescent="0.25">
      <c r="F229" s="29"/>
    </row>
    <row r="230" spans="6:6" x14ac:dyDescent="0.25">
      <c r="F230" s="29"/>
    </row>
    <row r="231" spans="6:6" x14ac:dyDescent="0.25">
      <c r="F231" s="29"/>
    </row>
    <row r="232" spans="6:6" x14ac:dyDescent="0.25">
      <c r="F232" s="29"/>
    </row>
    <row r="233" spans="6:6" x14ac:dyDescent="0.25">
      <c r="F233" s="29"/>
    </row>
    <row r="234" spans="6:6" x14ac:dyDescent="0.25">
      <c r="F234" s="29"/>
    </row>
    <row r="235" spans="6:6" x14ac:dyDescent="0.25">
      <c r="F235" s="29"/>
    </row>
    <row r="236" spans="6:6" x14ac:dyDescent="0.25">
      <c r="F236" s="29"/>
    </row>
    <row r="237" spans="6:6" x14ac:dyDescent="0.25">
      <c r="F237" s="29"/>
    </row>
    <row r="238" spans="6:6" x14ac:dyDescent="0.25">
      <c r="F238" s="29"/>
    </row>
    <row r="239" spans="6:6" x14ac:dyDescent="0.25">
      <c r="F239" s="29"/>
    </row>
    <row r="240" spans="6:6" x14ac:dyDescent="0.25">
      <c r="F240" s="29"/>
    </row>
    <row r="241" spans="6:6" x14ac:dyDescent="0.25">
      <c r="F241" s="29"/>
    </row>
    <row r="242" spans="6:6" x14ac:dyDescent="0.25">
      <c r="F242" s="29"/>
    </row>
    <row r="243" spans="6:6" x14ac:dyDescent="0.25">
      <c r="F243" s="29"/>
    </row>
    <row r="244" spans="6:6" x14ac:dyDescent="0.25">
      <c r="F244" s="29"/>
    </row>
    <row r="245" spans="6:6" x14ac:dyDescent="0.25">
      <c r="F245" s="29"/>
    </row>
    <row r="246" spans="6:6" x14ac:dyDescent="0.25">
      <c r="F246" s="29"/>
    </row>
    <row r="247" spans="6:6" x14ac:dyDescent="0.25">
      <c r="F247" s="29"/>
    </row>
    <row r="248" spans="6:6" x14ac:dyDescent="0.25">
      <c r="F248" s="29"/>
    </row>
    <row r="249" spans="6:6" x14ac:dyDescent="0.25">
      <c r="F249" s="29"/>
    </row>
    <row r="250" spans="6:6" x14ac:dyDescent="0.25">
      <c r="F250" s="29"/>
    </row>
    <row r="251" spans="6:6" x14ac:dyDescent="0.25">
      <c r="F251" s="29"/>
    </row>
    <row r="252" spans="6:6" x14ac:dyDescent="0.25">
      <c r="F252" s="29"/>
    </row>
    <row r="253" spans="6:6" x14ac:dyDescent="0.25">
      <c r="F253" s="29"/>
    </row>
    <row r="254" spans="6:6" x14ac:dyDescent="0.25">
      <c r="F254" s="29"/>
    </row>
    <row r="255" spans="6:6" x14ac:dyDescent="0.25">
      <c r="F255" s="29"/>
    </row>
    <row r="256" spans="6:6" x14ac:dyDescent="0.25">
      <c r="F256" s="29"/>
    </row>
    <row r="257" spans="6:6" x14ac:dyDescent="0.25">
      <c r="F257" s="29"/>
    </row>
    <row r="258" spans="6:6" x14ac:dyDescent="0.25">
      <c r="F258" s="29"/>
    </row>
    <row r="259" spans="6:6" x14ac:dyDescent="0.25">
      <c r="F259" s="29"/>
    </row>
    <row r="260" spans="6:6" x14ac:dyDescent="0.25">
      <c r="F260" s="29"/>
    </row>
    <row r="261" spans="6:6" x14ac:dyDescent="0.25">
      <c r="F261" s="29"/>
    </row>
    <row r="262" spans="6:6" x14ac:dyDescent="0.25">
      <c r="F262" s="29"/>
    </row>
    <row r="263" spans="6:6" x14ac:dyDescent="0.25">
      <c r="F263" s="29"/>
    </row>
    <row r="264" spans="6:6" x14ac:dyDescent="0.25">
      <c r="F264" s="29"/>
    </row>
    <row r="265" spans="6:6" x14ac:dyDescent="0.25">
      <c r="F265" s="29"/>
    </row>
    <row r="266" spans="6:6" x14ac:dyDescent="0.25">
      <c r="F266" s="29"/>
    </row>
    <row r="267" spans="6:6" x14ac:dyDescent="0.25">
      <c r="F267" s="29"/>
    </row>
    <row r="268" spans="6:6" x14ac:dyDescent="0.25">
      <c r="F268" s="29"/>
    </row>
    <row r="269" spans="6:6" x14ac:dyDescent="0.25">
      <c r="F269" s="29"/>
    </row>
    <row r="270" spans="6:6" x14ac:dyDescent="0.25">
      <c r="F270" s="29"/>
    </row>
    <row r="271" spans="6:6" x14ac:dyDescent="0.25">
      <c r="F271" s="29"/>
    </row>
    <row r="272" spans="6:6" x14ac:dyDescent="0.25">
      <c r="F272" s="29"/>
    </row>
    <row r="273" spans="6:6" x14ac:dyDescent="0.25">
      <c r="F273" s="29"/>
    </row>
    <row r="274" spans="6:6" x14ac:dyDescent="0.25">
      <c r="F274" s="29"/>
    </row>
    <row r="275" spans="6:6" x14ac:dyDescent="0.25">
      <c r="F275" s="29"/>
    </row>
    <row r="276" spans="6:6" x14ac:dyDescent="0.25">
      <c r="F276" s="29"/>
    </row>
    <row r="277" spans="6:6" x14ac:dyDescent="0.25">
      <c r="F277" s="29"/>
    </row>
    <row r="278" spans="6:6" x14ac:dyDescent="0.25">
      <c r="F278" s="29"/>
    </row>
    <row r="279" spans="6:6" x14ac:dyDescent="0.25">
      <c r="F279" s="29"/>
    </row>
    <row r="280" spans="6:6" x14ac:dyDescent="0.25">
      <c r="F280" s="29"/>
    </row>
    <row r="281" spans="6:6" x14ac:dyDescent="0.25">
      <c r="F281" s="29"/>
    </row>
    <row r="282" spans="6:6" x14ac:dyDescent="0.25">
      <c r="F282" s="29"/>
    </row>
    <row r="283" spans="6:6" x14ac:dyDescent="0.25">
      <c r="F283" s="29"/>
    </row>
    <row r="284" spans="6:6" x14ac:dyDescent="0.25">
      <c r="F284" s="29"/>
    </row>
    <row r="285" spans="6:6" x14ac:dyDescent="0.25">
      <c r="F285" s="29"/>
    </row>
    <row r="286" spans="6:6" x14ac:dyDescent="0.25">
      <c r="F286" s="29"/>
    </row>
    <row r="287" spans="6:6" x14ac:dyDescent="0.25">
      <c r="F287" s="29"/>
    </row>
    <row r="288" spans="6:6" x14ac:dyDescent="0.25">
      <c r="F288" s="29"/>
    </row>
    <row r="289" spans="6:6" x14ac:dyDescent="0.25">
      <c r="F289" s="29"/>
    </row>
    <row r="290" spans="6:6" x14ac:dyDescent="0.25">
      <c r="F290" s="29"/>
    </row>
    <row r="291" spans="6:6" x14ac:dyDescent="0.25">
      <c r="F291" s="29"/>
    </row>
    <row r="292" spans="6:6" x14ac:dyDescent="0.25">
      <c r="F292" s="29"/>
    </row>
    <row r="293" spans="6:6" x14ac:dyDescent="0.25">
      <c r="F293" s="29"/>
    </row>
    <row r="294" spans="6:6" x14ac:dyDescent="0.25">
      <c r="F294" s="29"/>
    </row>
    <row r="295" spans="6:6" x14ac:dyDescent="0.25">
      <c r="F295" s="29"/>
    </row>
    <row r="296" spans="6:6" x14ac:dyDescent="0.25">
      <c r="F296" s="29"/>
    </row>
    <row r="297" spans="6:6" x14ac:dyDescent="0.25">
      <c r="F297" s="29"/>
    </row>
    <row r="298" spans="6:6" x14ac:dyDescent="0.25">
      <c r="F298" s="29"/>
    </row>
    <row r="299" spans="6:6" x14ac:dyDescent="0.25">
      <c r="F299" s="29"/>
    </row>
    <row r="300" spans="6:6" x14ac:dyDescent="0.25">
      <c r="F300" s="29"/>
    </row>
    <row r="301" spans="6:6" x14ac:dyDescent="0.25">
      <c r="F301" s="29"/>
    </row>
    <row r="302" spans="6:6" x14ac:dyDescent="0.25">
      <c r="F302" s="29"/>
    </row>
    <row r="303" spans="6:6" x14ac:dyDescent="0.25">
      <c r="F303" s="29"/>
    </row>
  </sheetData>
  <conditionalFormatting sqref="E84:E91 E93:E105 E123:E130 E132:E153 E214:E221 E193:E198 E2:E24 E26:E38 E74:E82 E108:E121 E180:E182 E156:E167 E188:E191 E200:E212">
    <cfRule type="expression" dxfId="1451" priority="3">
      <formula>"COUNTIF(K3:K47,E4)&lt;1"</formula>
    </cfRule>
  </conditionalFormatting>
  <conditionalFormatting sqref="H1621:H1048576 H213:H221 H131:H153 H92:H105 H192:H206 H1:H35 H73:H89 H107:H128 H155:H182">
    <cfRule type="cellIs" dxfId="1450" priority="2" operator="lessThan">
      <formula>1</formula>
    </cfRule>
  </conditionalFormatting>
  <conditionalFormatting sqref="E187">
    <cfRule type="expression" dxfId="1449" priority="1">
      <formula>"COUNTIF(K3:K47,E4)&lt;1"</formula>
    </cfRule>
  </conditionalFormatting>
  <pageMargins left="0.7" right="0.7" top="0.75" bottom="0.75" header="0.3" footer="0.3"/>
  <pageSetup scale="89" fitToHeight="0" orientation="landscape" horizontalDpi="4294967293" r:id="rId1"/>
  <tableParts count="1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77F07-0332-452F-901F-0E78BA52A7E9}">
  <sheetPr codeName="Sheet7">
    <pageSetUpPr fitToPage="1"/>
  </sheetPr>
  <dimension ref="A1:H307"/>
  <sheetViews>
    <sheetView topLeftCell="A151" zoomScaleNormal="100" workbookViewId="0">
      <selection activeCell="B183" sqref="B183"/>
    </sheetView>
  </sheetViews>
  <sheetFormatPr defaultRowHeight="15" x14ac:dyDescent="0.25"/>
  <cols>
    <col min="2" max="2" width="17" customWidth="1"/>
    <col min="3" max="3" width="14.85546875" customWidth="1"/>
    <col min="4" max="4" width="12.28515625" customWidth="1"/>
    <col min="5" max="5" width="37.5703125" style="2" customWidth="1"/>
    <col min="6" max="6" width="15.140625" style="30" customWidth="1"/>
    <col min="7" max="7" width="21.140625" customWidth="1"/>
    <col min="10" max="10" width="12.7109375" customWidth="1"/>
    <col min="11" max="11" width="42.7109375" bestFit="1" customWidth="1"/>
    <col min="14" max="14" width="8.42578125" bestFit="1" customWidth="1"/>
  </cols>
  <sheetData>
    <row r="1" spans="1:8" x14ac:dyDescent="0.25">
      <c r="A1" t="s">
        <v>0</v>
      </c>
      <c r="B1" t="s">
        <v>73</v>
      </c>
      <c r="C1" t="s">
        <v>1</v>
      </c>
      <c r="D1" t="s">
        <v>2</v>
      </c>
      <c r="E1" t="s">
        <v>3</v>
      </c>
      <c r="F1" s="29" t="s">
        <v>4</v>
      </c>
      <c r="G1" t="s">
        <v>5</v>
      </c>
      <c r="H1" t="s">
        <v>458</v>
      </c>
    </row>
    <row r="2" spans="1:8" x14ac:dyDescent="0.25">
      <c r="A2">
        <v>1</v>
      </c>
      <c r="B2">
        <f t="shared" ref="B2:B20" si="0">IF(H2=1,MAX(21-A2,0),0)</f>
        <v>0</v>
      </c>
      <c r="C2" t="s">
        <v>1011</v>
      </c>
      <c r="D2" t="s">
        <v>257</v>
      </c>
      <c r="E2" t="s">
        <v>1012</v>
      </c>
      <c r="F2" s="29" t="s">
        <v>1013</v>
      </c>
      <c r="G2" t="s">
        <v>9</v>
      </c>
      <c r="H2">
        <f>COUNTIF(ValidTeams[],E2)</f>
        <v>0</v>
      </c>
    </row>
    <row r="3" spans="1:8" x14ac:dyDescent="0.25">
      <c r="A3">
        <v>2</v>
      </c>
      <c r="B3">
        <f t="shared" si="0"/>
        <v>19</v>
      </c>
      <c r="C3" t="s">
        <v>6</v>
      </c>
      <c r="D3" t="s">
        <v>7</v>
      </c>
      <c r="E3" t="s">
        <v>8</v>
      </c>
      <c r="F3" s="29" t="s">
        <v>1014</v>
      </c>
      <c r="G3" t="s">
        <v>9</v>
      </c>
      <c r="H3">
        <f>COUNTIF(ValidTeams[],E3)</f>
        <v>1</v>
      </c>
    </row>
    <row r="4" spans="1:8" x14ac:dyDescent="0.25">
      <c r="A4">
        <v>3</v>
      </c>
      <c r="B4">
        <f t="shared" si="0"/>
        <v>0</v>
      </c>
      <c r="C4" t="s">
        <v>1015</v>
      </c>
      <c r="D4" t="s">
        <v>174</v>
      </c>
      <c r="E4" t="s">
        <v>1016</v>
      </c>
      <c r="F4" s="29" t="s">
        <v>1017</v>
      </c>
      <c r="G4" t="s">
        <v>9</v>
      </c>
      <c r="H4">
        <f>COUNTIF(ValidTeams[],E4)</f>
        <v>0</v>
      </c>
    </row>
    <row r="5" spans="1:8" x14ac:dyDescent="0.25">
      <c r="A5">
        <v>4</v>
      </c>
      <c r="B5">
        <f t="shared" si="0"/>
        <v>17</v>
      </c>
      <c r="C5" t="s">
        <v>13</v>
      </c>
      <c r="D5" t="s">
        <v>14</v>
      </c>
      <c r="E5" t="s">
        <v>15</v>
      </c>
      <c r="F5" s="29" t="s">
        <v>1019</v>
      </c>
      <c r="G5" t="s">
        <v>9</v>
      </c>
      <c r="H5">
        <f>COUNTIF(ValidTeams[],E5)</f>
        <v>1</v>
      </c>
    </row>
    <row r="6" spans="1:8" x14ac:dyDescent="0.25">
      <c r="A6">
        <v>5</v>
      </c>
      <c r="B6">
        <f t="shared" si="0"/>
        <v>0</v>
      </c>
      <c r="C6" t="s">
        <v>1020</v>
      </c>
      <c r="D6" t="s">
        <v>27</v>
      </c>
      <c r="E6"/>
      <c r="F6" s="29" t="s">
        <v>1021</v>
      </c>
      <c r="G6" t="s">
        <v>9</v>
      </c>
      <c r="H6">
        <f>COUNTIF(ValidTeams[],E6)</f>
        <v>0</v>
      </c>
    </row>
    <row r="7" spans="1:8" x14ac:dyDescent="0.25">
      <c r="A7">
        <v>6</v>
      </c>
      <c r="B7">
        <f t="shared" si="0"/>
        <v>15</v>
      </c>
      <c r="C7" t="s">
        <v>513</v>
      </c>
      <c r="D7" t="s">
        <v>30</v>
      </c>
      <c r="E7" t="s">
        <v>442</v>
      </c>
      <c r="F7" s="29" t="s">
        <v>1022</v>
      </c>
      <c r="G7" t="s">
        <v>9</v>
      </c>
      <c r="H7">
        <f>COUNTIF(ValidTeams[],E7)</f>
        <v>1</v>
      </c>
    </row>
    <row r="8" spans="1:8" x14ac:dyDescent="0.25">
      <c r="A8">
        <v>7</v>
      </c>
      <c r="B8">
        <f t="shared" si="0"/>
        <v>0</v>
      </c>
      <c r="C8" t="s">
        <v>1023</v>
      </c>
      <c r="D8" t="s">
        <v>310</v>
      </c>
      <c r="E8"/>
      <c r="F8" s="29" t="s">
        <v>1024</v>
      </c>
      <c r="G8" t="s">
        <v>9</v>
      </c>
      <c r="H8">
        <f>COUNTIF(ValidTeams[],E8)</f>
        <v>0</v>
      </c>
    </row>
    <row r="9" spans="1:8" x14ac:dyDescent="0.25">
      <c r="A9">
        <v>8</v>
      </c>
      <c r="B9">
        <f t="shared" si="0"/>
        <v>0</v>
      </c>
      <c r="C9" t="s">
        <v>1025</v>
      </c>
      <c r="D9" t="s">
        <v>1026</v>
      </c>
      <c r="E9"/>
      <c r="F9" s="29" t="s">
        <v>1027</v>
      </c>
      <c r="G9" t="s">
        <v>9</v>
      </c>
      <c r="H9">
        <f>COUNTIF(ValidTeams[],E9)</f>
        <v>0</v>
      </c>
    </row>
    <row r="10" spans="1:8" x14ac:dyDescent="0.25">
      <c r="A10">
        <v>9</v>
      </c>
      <c r="B10">
        <f t="shared" si="0"/>
        <v>0</v>
      </c>
      <c r="C10" t="s">
        <v>532</v>
      </c>
      <c r="D10" t="s">
        <v>233</v>
      </c>
      <c r="E10" t="s">
        <v>1028</v>
      </c>
      <c r="F10" s="29" t="s">
        <v>1029</v>
      </c>
      <c r="G10" t="s">
        <v>9</v>
      </c>
      <c r="H10">
        <f>COUNTIF(ValidTeams[],E10)</f>
        <v>0</v>
      </c>
    </row>
    <row r="11" spans="1:8" x14ac:dyDescent="0.25">
      <c r="A11">
        <v>10</v>
      </c>
      <c r="B11">
        <f t="shared" si="0"/>
        <v>0</v>
      </c>
      <c r="E11"/>
      <c r="F11" s="29"/>
      <c r="G11" t="s">
        <v>9</v>
      </c>
      <c r="H11">
        <f>COUNTIF(ValidTeams[],E11)</f>
        <v>0</v>
      </c>
    </row>
    <row r="12" spans="1:8" x14ac:dyDescent="0.25">
      <c r="A12">
        <v>11</v>
      </c>
      <c r="B12">
        <f t="shared" si="0"/>
        <v>0</v>
      </c>
      <c r="E12"/>
      <c r="F12" s="29"/>
      <c r="G12" t="s">
        <v>9</v>
      </c>
      <c r="H12">
        <f>COUNTIF(ValidTeams[],E12)</f>
        <v>0</v>
      </c>
    </row>
    <row r="13" spans="1:8" x14ac:dyDescent="0.25">
      <c r="A13">
        <v>12</v>
      </c>
      <c r="B13" s="23">
        <f t="shared" si="0"/>
        <v>0</v>
      </c>
      <c r="F13" s="29"/>
      <c r="G13" t="s">
        <v>9</v>
      </c>
      <c r="H13" s="23">
        <f>COUNTIF(ValidTeams[],E13)</f>
        <v>0</v>
      </c>
    </row>
    <row r="14" spans="1:8" x14ac:dyDescent="0.25">
      <c r="A14">
        <v>13</v>
      </c>
      <c r="B14" s="23">
        <f t="shared" si="0"/>
        <v>0</v>
      </c>
      <c r="F14" s="29"/>
      <c r="G14" t="s">
        <v>9</v>
      </c>
      <c r="H14" s="23">
        <f>COUNTIF(ValidTeams[],E14)</f>
        <v>0</v>
      </c>
    </row>
    <row r="15" spans="1:8" x14ac:dyDescent="0.25">
      <c r="A15">
        <v>14</v>
      </c>
      <c r="B15" s="23">
        <f t="shared" si="0"/>
        <v>0</v>
      </c>
      <c r="F15" s="29"/>
      <c r="G15" t="s">
        <v>9</v>
      </c>
      <c r="H15" s="23">
        <f>COUNTIF(ValidTeams[],E15)</f>
        <v>0</v>
      </c>
    </row>
    <row r="16" spans="1:8" x14ac:dyDescent="0.25">
      <c r="A16">
        <v>15</v>
      </c>
      <c r="B16" s="23">
        <f t="shared" si="0"/>
        <v>0</v>
      </c>
      <c r="F16" s="29"/>
      <c r="G16" t="s">
        <v>9</v>
      </c>
      <c r="H16" s="23">
        <f>COUNTIF(ValidTeams[],E16)</f>
        <v>0</v>
      </c>
    </row>
    <row r="17" spans="1:8" x14ac:dyDescent="0.25">
      <c r="A17">
        <v>16</v>
      </c>
      <c r="B17" s="23">
        <f t="shared" si="0"/>
        <v>0</v>
      </c>
      <c r="F17" s="29"/>
      <c r="G17" t="s">
        <v>9</v>
      </c>
      <c r="H17" s="23">
        <f>COUNTIF(ValidTeams[],E17)</f>
        <v>0</v>
      </c>
    </row>
    <row r="18" spans="1:8" x14ac:dyDescent="0.25">
      <c r="A18">
        <v>17</v>
      </c>
      <c r="B18" s="23">
        <f t="shared" si="0"/>
        <v>0</v>
      </c>
      <c r="F18" s="29"/>
      <c r="G18" t="s">
        <v>9</v>
      </c>
      <c r="H18" s="23">
        <f>COUNTIF(ValidTeams[],E18)</f>
        <v>0</v>
      </c>
    </row>
    <row r="19" spans="1:8" x14ac:dyDescent="0.25">
      <c r="A19">
        <v>18</v>
      </c>
      <c r="B19" s="23">
        <f t="shared" si="0"/>
        <v>0</v>
      </c>
      <c r="F19" s="29"/>
      <c r="G19" t="s">
        <v>9</v>
      </c>
      <c r="H19" s="23">
        <f>COUNTIF(ValidTeams[],E19)</f>
        <v>0</v>
      </c>
    </row>
    <row r="20" spans="1:8" x14ac:dyDescent="0.25">
      <c r="A20">
        <v>19</v>
      </c>
      <c r="B20" s="23">
        <f t="shared" si="0"/>
        <v>0</v>
      </c>
      <c r="F20" s="29"/>
      <c r="G20" t="s">
        <v>9</v>
      </c>
      <c r="H20" s="23">
        <f>COUNTIF(ValidTeams[],E20)</f>
        <v>0</v>
      </c>
    </row>
    <row r="21" spans="1:8" x14ac:dyDescent="0.25">
      <c r="A21">
        <v>20</v>
      </c>
      <c r="B21" s="23">
        <f>IF(H21=1,MAX(21-A21,0),0)</f>
        <v>0</v>
      </c>
      <c r="F21" s="29"/>
      <c r="G21" t="s">
        <v>9</v>
      </c>
      <c r="H21" s="23">
        <f>COUNTIF(ValidTeams[],E21)</f>
        <v>0</v>
      </c>
    </row>
    <row r="22" spans="1:8" x14ac:dyDescent="0.25">
      <c r="A22">
        <v>21</v>
      </c>
      <c r="B22" s="23">
        <f>IF(H22=1,MAX(21-A22,0),0)</f>
        <v>0</v>
      </c>
      <c r="F22" s="29"/>
      <c r="G22" t="s">
        <v>9</v>
      </c>
      <c r="H22" s="23">
        <f>COUNTIF(ValidTeams[],E22)</f>
        <v>0</v>
      </c>
    </row>
    <row r="23" spans="1:8" x14ac:dyDescent="0.25">
      <c r="A23">
        <v>22</v>
      </c>
      <c r="B23" s="23">
        <f>IF(H23=1,MAX(21-A23,0),0)</f>
        <v>0</v>
      </c>
      <c r="F23" s="29"/>
      <c r="G23" t="s">
        <v>9</v>
      </c>
      <c r="H23" s="23">
        <f>COUNTIF(ValidTeams[],E23)</f>
        <v>0</v>
      </c>
    </row>
    <row r="24" spans="1:8" x14ac:dyDescent="0.25">
      <c r="B24" s="23"/>
      <c r="F24" s="29"/>
      <c r="H24" s="23"/>
    </row>
    <row r="25" spans="1:8" x14ac:dyDescent="0.25">
      <c r="A25" t="s">
        <v>0</v>
      </c>
      <c r="B25" t="s">
        <v>73</v>
      </c>
      <c r="C25" t="s">
        <v>1</v>
      </c>
      <c r="D25" t="s">
        <v>2</v>
      </c>
      <c r="E25" t="s">
        <v>3</v>
      </c>
      <c r="F25" s="29" t="s">
        <v>4</v>
      </c>
      <c r="G25" t="s">
        <v>5</v>
      </c>
      <c r="H25" t="s">
        <v>72</v>
      </c>
    </row>
    <row r="26" spans="1:8" x14ac:dyDescent="0.25">
      <c r="A26">
        <v>1</v>
      </c>
      <c r="B26">
        <f t="shared" ref="B26:B35" si="1">IF(H26=1,MAX(21-A26,0),0)</f>
        <v>20</v>
      </c>
      <c r="C26" t="s">
        <v>40</v>
      </c>
      <c r="D26" t="s">
        <v>41</v>
      </c>
      <c r="E26" t="s">
        <v>38</v>
      </c>
      <c r="F26" s="29" t="s">
        <v>1030</v>
      </c>
      <c r="G26" t="s">
        <v>39</v>
      </c>
      <c r="H26">
        <f>COUNTIF(ValidTeams[],E26)</f>
        <v>1</v>
      </c>
    </row>
    <row r="27" spans="1:8" x14ac:dyDescent="0.25">
      <c r="A27">
        <v>2</v>
      </c>
      <c r="B27">
        <f t="shared" si="1"/>
        <v>19</v>
      </c>
      <c r="C27" t="s">
        <v>36</v>
      </c>
      <c r="D27" t="s">
        <v>37</v>
      </c>
      <c r="E27" t="s">
        <v>38</v>
      </c>
      <c r="F27" s="29" t="s">
        <v>1031</v>
      </c>
      <c r="G27" t="s">
        <v>39</v>
      </c>
      <c r="H27">
        <f>COUNTIF(ValidTeams[],E27)</f>
        <v>1</v>
      </c>
    </row>
    <row r="28" spans="1:8" x14ac:dyDescent="0.25">
      <c r="A28">
        <v>3</v>
      </c>
      <c r="B28">
        <f t="shared" si="1"/>
        <v>18</v>
      </c>
      <c r="C28" t="s">
        <v>42</v>
      </c>
      <c r="D28" t="s">
        <v>43</v>
      </c>
      <c r="E28" t="s">
        <v>44</v>
      </c>
      <c r="F28" s="29" t="s">
        <v>1032</v>
      </c>
      <c r="G28" t="s">
        <v>39</v>
      </c>
      <c r="H28">
        <f>COUNTIF(ValidTeams[],E28)</f>
        <v>1</v>
      </c>
    </row>
    <row r="29" spans="1:8" x14ac:dyDescent="0.25">
      <c r="A29">
        <v>4</v>
      </c>
      <c r="B29">
        <f t="shared" si="1"/>
        <v>17</v>
      </c>
      <c r="C29" t="s">
        <v>66</v>
      </c>
      <c r="D29" t="s">
        <v>67</v>
      </c>
      <c r="E29" t="s">
        <v>442</v>
      </c>
      <c r="F29" s="29" t="s">
        <v>1033</v>
      </c>
      <c r="G29" t="s">
        <v>39</v>
      </c>
      <c r="H29">
        <f>COUNTIF(ValidTeams[],E29)</f>
        <v>1</v>
      </c>
    </row>
    <row r="30" spans="1:8" x14ac:dyDescent="0.25">
      <c r="A30">
        <v>5</v>
      </c>
      <c r="B30">
        <f t="shared" si="1"/>
        <v>0</v>
      </c>
      <c r="E30"/>
      <c r="F30" s="29"/>
      <c r="G30" t="s">
        <v>39</v>
      </c>
      <c r="H30">
        <f>COUNTIF(ValidTeams[],E30)</f>
        <v>0</v>
      </c>
    </row>
    <row r="31" spans="1:8" x14ac:dyDescent="0.25">
      <c r="A31">
        <v>6</v>
      </c>
      <c r="B31">
        <f t="shared" si="1"/>
        <v>0</v>
      </c>
      <c r="E31"/>
      <c r="F31" s="29"/>
      <c r="G31" t="s">
        <v>39</v>
      </c>
      <c r="H31">
        <f>COUNTIF(ValidTeams[],E31)</f>
        <v>0</v>
      </c>
    </row>
    <row r="32" spans="1:8" x14ac:dyDescent="0.25">
      <c r="A32">
        <v>7</v>
      </c>
      <c r="B32">
        <f t="shared" si="1"/>
        <v>0</v>
      </c>
      <c r="E32"/>
      <c r="F32" s="28"/>
      <c r="G32" t="s">
        <v>39</v>
      </c>
      <c r="H32">
        <f>COUNTIF(ValidTeams[],E32)</f>
        <v>0</v>
      </c>
    </row>
    <row r="33" spans="1:8" x14ac:dyDescent="0.25">
      <c r="A33">
        <v>8</v>
      </c>
      <c r="B33">
        <f t="shared" si="1"/>
        <v>0</v>
      </c>
      <c r="E33"/>
      <c r="F33" s="28"/>
      <c r="G33" t="s">
        <v>39</v>
      </c>
      <c r="H33">
        <f>COUNTIF(ValidTeams[],E33)</f>
        <v>0</v>
      </c>
    </row>
    <row r="34" spans="1:8" x14ac:dyDescent="0.25">
      <c r="A34">
        <v>9</v>
      </c>
      <c r="B34">
        <f t="shared" si="1"/>
        <v>0</v>
      </c>
      <c r="E34"/>
      <c r="F34" s="28"/>
      <c r="G34" t="s">
        <v>39</v>
      </c>
      <c r="H34">
        <f>COUNTIF(ValidTeams[],E34)</f>
        <v>0</v>
      </c>
    </row>
    <row r="35" spans="1:8" x14ac:dyDescent="0.25">
      <c r="A35">
        <v>10</v>
      </c>
      <c r="B35">
        <f t="shared" si="1"/>
        <v>0</v>
      </c>
      <c r="E35"/>
      <c r="F35" s="28"/>
      <c r="G35" t="s">
        <v>39</v>
      </c>
      <c r="H35">
        <f>COUNTIF(ValidTeams[],E35)</f>
        <v>0</v>
      </c>
    </row>
    <row r="36" spans="1:8" x14ac:dyDescent="0.25">
      <c r="A36">
        <v>11</v>
      </c>
      <c r="B36" s="23">
        <f>IF(H36=1,MAX(21-A36,0),0)</f>
        <v>0</v>
      </c>
      <c r="F36" s="29"/>
      <c r="G36" t="s">
        <v>39</v>
      </c>
      <c r="H36" s="23">
        <f>COUNTIF(ValidTeams[],E36)</f>
        <v>0</v>
      </c>
    </row>
    <row r="37" spans="1:8" x14ac:dyDescent="0.25">
      <c r="A37">
        <v>12</v>
      </c>
      <c r="B37" s="23">
        <f>IF(H37=1,MAX(21-A37,0),0)</f>
        <v>0</v>
      </c>
      <c r="F37" s="29"/>
      <c r="G37" t="s">
        <v>39</v>
      </c>
      <c r="H37" s="23">
        <f>COUNTIF(ValidTeams[],E37)</f>
        <v>0</v>
      </c>
    </row>
    <row r="38" spans="1:8" x14ac:dyDescent="0.25">
      <c r="B38" s="23"/>
      <c r="F38" s="29"/>
      <c r="H38" s="23"/>
    </row>
    <row r="39" spans="1:8" x14ac:dyDescent="0.25">
      <c r="A39" t="s">
        <v>0</v>
      </c>
      <c r="B39" t="s">
        <v>73</v>
      </c>
      <c r="C39" t="s">
        <v>1</v>
      </c>
      <c r="D39" t="s">
        <v>2</v>
      </c>
      <c r="E39" s="2" t="s">
        <v>3</v>
      </c>
      <c r="F39" s="30" t="s">
        <v>4</v>
      </c>
      <c r="G39" t="s">
        <v>5</v>
      </c>
    </row>
    <row r="40" spans="1:8" x14ac:dyDescent="0.25">
      <c r="A40">
        <v>1</v>
      </c>
      <c r="B40">
        <v>20</v>
      </c>
      <c r="F40" s="29"/>
      <c r="G40" t="s">
        <v>86</v>
      </c>
    </row>
    <row r="41" spans="1:8" x14ac:dyDescent="0.25">
      <c r="A41">
        <v>2</v>
      </c>
      <c r="B41">
        <v>19</v>
      </c>
      <c r="F41" s="29"/>
      <c r="G41" t="s">
        <v>86</v>
      </c>
    </row>
    <row r="42" spans="1:8" x14ac:dyDescent="0.25">
      <c r="A42">
        <v>3</v>
      </c>
      <c r="B42">
        <v>18</v>
      </c>
      <c r="F42" s="29"/>
      <c r="G42" t="s">
        <v>86</v>
      </c>
    </row>
    <row r="43" spans="1:8" x14ac:dyDescent="0.25">
      <c r="A43">
        <v>4</v>
      </c>
      <c r="B43">
        <v>17</v>
      </c>
      <c r="F43" s="29"/>
      <c r="G43" t="s">
        <v>86</v>
      </c>
    </row>
    <row r="44" spans="1:8" x14ac:dyDescent="0.25">
      <c r="A44">
        <v>5</v>
      </c>
      <c r="B44">
        <v>0</v>
      </c>
      <c r="F44" s="29"/>
      <c r="G44" t="s">
        <v>86</v>
      </c>
    </row>
    <row r="45" spans="1:8" x14ac:dyDescent="0.25">
      <c r="A45">
        <v>6</v>
      </c>
      <c r="B45">
        <v>0</v>
      </c>
      <c r="F45" s="29"/>
      <c r="G45" t="s">
        <v>86</v>
      </c>
    </row>
    <row r="46" spans="1:8" x14ac:dyDescent="0.25">
      <c r="F46" s="29"/>
    </row>
    <row r="47" spans="1:8" x14ac:dyDescent="0.25">
      <c r="A47" s="4" t="s">
        <v>0</v>
      </c>
      <c r="B47" s="4" t="s">
        <v>73</v>
      </c>
      <c r="C47" s="4" t="s">
        <v>1</v>
      </c>
      <c r="D47" s="4" t="s">
        <v>2</v>
      </c>
      <c r="E47" s="5" t="s">
        <v>3</v>
      </c>
      <c r="F47" s="31" t="s">
        <v>4</v>
      </c>
      <c r="G47" s="4" t="s">
        <v>5</v>
      </c>
    </row>
    <row r="48" spans="1:8" x14ac:dyDescent="0.25">
      <c r="A48" s="1">
        <v>1</v>
      </c>
      <c r="B48" s="1">
        <v>20</v>
      </c>
      <c r="C48" s="1"/>
      <c r="D48" s="1"/>
      <c r="E48" s="3"/>
      <c r="F48" s="32"/>
      <c r="G48" s="1" t="s">
        <v>101</v>
      </c>
    </row>
    <row r="49" spans="1:7" x14ac:dyDescent="0.25">
      <c r="A49" s="1">
        <v>2</v>
      </c>
      <c r="B49" s="1">
        <v>19</v>
      </c>
      <c r="C49" s="1"/>
      <c r="D49" s="1"/>
      <c r="E49" s="3"/>
      <c r="F49" s="32"/>
      <c r="G49" s="1" t="s">
        <v>101</v>
      </c>
    </row>
    <row r="50" spans="1:7" x14ac:dyDescent="0.25">
      <c r="A50" s="1">
        <v>3</v>
      </c>
      <c r="B50" s="1">
        <v>18</v>
      </c>
      <c r="C50" s="1"/>
      <c r="D50" s="1"/>
      <c r="E50" s="3"/>
      <c r="F50" s="32"/>
      <c r="G50" s="1" t="s">
        <v>101</v>
      </c>
    </row>
    <row r="51" spans="1:7" x14ac:dyDescent="0.25">
      <c r="F51" s="29"/>
    </row>
    <row r="52" spans="1:7" x14ac:dyDescent="0.25">
      <c r="A52" s="4" t="s">
        <v>0</v>
      </c>
      <c r="B52" s="4" t="s">
        <v>73</v>
      </c>
      <c r="C52" s="4" t="s">
        <v>1</v>
      </c>
      <c r="D52" s="4" t="s">
        <v>2</v>
      </c>
      <c r="E52" s="5" t="s">
        <v>3</v>
      </c>
      <c r="F52" s="31" t="s">
        <v>4</v>
      </c>
      <c r="G52" s="4" t="s">
        <v>5</v>
      </c>
    </row>
    <row r="53" spans="1:7" x14ac:dyDescent="0.25">
      <c r="A53" s="1">
        <v>1</v>
      </c>
      <c r="B53" s="1">
        <v>20</v>
      </c>
      <c r="C53" s="1"/>
      <c r="D53" s="1"/>
      <c r="E53" s="3"/>
      <c r="F53" s="32"/>
      <c r="G53" s="1" t="s">
        <v>109</v>
      </c>
    </row>
    <row r="54" spans="1:7" x14ac:dyDescent="0.25">
      <c r="A54" s="1">
        <v>2</v>
      </c>
      <c r="B54" s="1">
        <v>19</v>
      </c>
      <c r="C54" s="1"/>
      <c r="D54" s="1"/>
      <c r="E54" s="3"/>
      <c r="F54" s="32"/>
      <c r="G54" s="1" t="s">
        <v>109</v>
      </c>
    </row>
    <row r="55" spans="1:7" x14ac:dyDescent="0.25">
      <c r="F55" s="29"/>
    </row>
    <row r="56" spans="1:7" x14ac:dyDescent="0.25">
      <c r="A56" s="4" t="s">
        <v>0</v>
      </c>
      <c r="B56" s="4" t="s">
        <v>73</v>
      </c>
      <c r="C56" s="4" t="s">
        <v>1</v>
      </c>
      <c r="D56" s="4" t="s">
        <v>2</v>
      </c>
      <c r="E56" s="5" t="s">
        <v>3</v>
      </c>
      <c r="F56" s="31" t="s">
        <v>4</v>
      </c>
      <c r="G56" s="4" t="s">
        <v>5</v>
      </c>
    </row>
    <row r="57" spans="1:7" x14ac:dyDescent="0.25">
      <c r="A57" s="1">
        <v>1</v>
      </c>
      <c r="B57" s="1">
        <v>20</v>
      </c>
      <c r="C57" s="1"/>
      <c r="D57" s="1"/>
      <c r="E57" s="3"/>
      <c r="F57" s="32"/>
      <c r="G57" s="1" t="s">
        <v>112</v>
      </c>
    </row>
    <row r="58" spans="1:7" x14ac:dyDescent="0.25">
      <c r="A58" s="1">
        <v>2</v>
      </c>
      <c r="B58" s="1">
        <v>19</v>
      </c>
      <c r="C58" s="1"/>
      <c r="D58" s="1"/>
      <c r="E58" s="3"/>
      <c r="F58" s="32"/>
      <c r="G58" s="1" t="s">
        <v>112</v>
      </c>
    </row>
    <row r="59" spans="1:7" x14ac:dyDescent="0.25">
      <c r="A59" s="1">
        <v>3</v>
      </c>
      <c r="B59" s="1">
        <v>18</v>
      </c>
      <c r="C59" s="1"/>
      <c r="D59" s="1"/>
      <c r="E59" s="3"/>
      <c r="F59" s="32"/>
      <c r="G59" s="1" t="s">
        <v>112</v>
      </c>
    </row>
    <row r="60" spans="1:7" x14ac:dyDescent="0.25">
      <c r="A60" s="1">
        <v>4</v>
      </c>
      <c r="B60" s="1">
        <v>17</v>
      </c>
      <c r="C60" s="1"/>
      <c r="D60" s="1"/>
      <c r="E60" s="3"/>
      <c r="F60" s="32"/>
      <c r="G60" s="1" t="s">
        <v>112</v>
      </c>
    </row>
    <row r="61" spans="1:7" x14ac:dyDescent="0.25">
      <c r="A61" s="1">
        <v>5</v>
      </c>
      <c r="B61" s="1">
        <v>16</v>
      </c>
      <c r="C61" s="1"/>
      <c r="D61" s="1"/>
      <c r="E61" s="3"/>
      <c r="F61" s="32"/>
      <c r="G61" s="1" t="s">
        <v>112</v>
      </c>
    </row>
    <row r="62" spans="1:7" x14ac:dyDescent="0.25">
      <c r="A62" s="1">
        <v>6</v>
      </c>
      <c r="B62" s="1">
        <v>15</v>
      </c>
      <c r="C62" s="1"/>
      <c r="D62" s="1"/>
      <c r="E62" s="3"/>
      <c r="F62" s="32"/>
      <c r="G62" s="1" t="s">
        <v>112</v>
      </c>
    </row>
    <row r="63" spans="1:7" x14ac:dyDescent="0.25">
      <c r="A63" s="1">
        <v>7</v>
      </c>
      <c r="B63" s="1">
        <v>14</v>
      </c>
      <c r="C63" s="1"/>
      <c r="D63" s="1"/>
      <c r="E63" s="3"/>
      <c r="F63" s="32"/>
      <c r="G63" s="1" t="s">
        <v>112</v>
      </c>
    </row>
    <row r="64" spans="1:7" x14ac:dyDescent="0.25">
      <c r="A64" s="1">
        <v>8</v>
      </c>
      <c r="B64" s="1">
        <v>13</v>
      </c>
      <c r="C64" s="1"/>
      <c r="D64" s="1"/>
      <c r="E64" s="3"/>
      <c r="F64" s="32"/>
      <c r="G64" s="1" t="s">
        <v>112</v>
      </c>
    </row>
    <row r="65" spans="1:8" x14ac:dyDescent="0.25">
      <c r="A65" s="6"/>
      <c r="B65" s="6"/>
      <c r="C65" s="6"/>
      <c r="D65" s="6"/>
      <c r="E65" s="21"/>
      <c r="F65" s="33"/>
      <c r="G65" s="6"/>
    </row>
    <row r="66" spans="1:8" x14ac:dyDescent="0.25">
      <c r="A66" s="4" t="s">
        <v>0</v>
      </c>
      <c r="B66" s="4" t="s">
        <v>73</v>
      </c>
      <c r="C66" s="4" t="s">
        <v>1</v>
      </c>
      <c r="D66" s="4" t="s">
        <v>2</v>
      </c>
      <c r="E66" s="5" t="s">
        <v>3</v>
      </c>
      <c r="F66" s="31" t="s">
        <v>4</v>
      </c>
      <c r="G66" s="4" t="s">
        <v>5</v>
      </c>
    </row>
    <row r="67" spans="1:8" x14ac:dyDescent="0.25">
      <c r="A67" s="1">
        <v>1</v>
      </c>
      <c r="B67" s="1">
        <v>20</v>
      </c>
      <c r="C67" s="1"/>
      <c r="D67" s="1"/>
      <c r="E67" s="3"/>
      <c r="F67" s="32"/>
      <c r="G67" s="1" t="s">
        <v>119</v>
      </c>
    </row>
    <row r="68" spans="1:8" x14ac:dyDescent="0.25">
      <c r="A68" s="1">
        <v>2</v>
      </c>
      <c r="B68" s="1">
        <v>19</v>
      </c>
      <c r="C68" s="1"/>
      <c r="D68" s="1"/>
      <c r="E68" s="3"/>
      <c r="F68" s="32"/>
      <c r="G68" s="1" t="s">
        <v>119</v>
      </c>
    </row>
    <row r="69" spans="1:8" x14ac:dyDescent="0.25">
      <c r="A69" s="6"/>
      <c r="B69" s="6"/>
      <c r="C69" s="6"/>
      <c r="D69" s="6"/>
      <c r="E69" s="21"/>
      <c r="F69" s="33"/>
      <c r="G69" s="6"/>
    </row>
    <row r="70" spans="1:8" x14ac:dyDescent="0.25">
      <c r="A70" s="4" t="s">
        <v>0</v>
      </c>
      <c r="B70" s="4" t="s">
        <v>73</v>
      </c>
      <c r="C70" s="4" t="s">
        <v>1</v>
      </c>
      <c r="D70" s="4" t="s">
        <v>2</v>
      </c>
      <c r="E70" s="5" t="s">
        <v>3</v>
      </c>
      <c r="F70" s="31" t="s">
        <v>4</v>
      </c>
      <c r="G70" s="4" t="s">
        <v>5</v>
      </c>
    </row>
    <row r="71" spans="1:8" x14ac:dyDescent="0.25">
      <c r="A71" s="1">
        <v>1</v>
      </c>
      <c r="B71" s="1">
        <v>20</v>
      </c>
      <c r="C71" s="1"/>
      <c r="D71" s="1"/>
      <c r="E71" s="3"/>
      <c r="F71" s="32"/>
      <c r="G71" s="1" t="s">
        <v>121</v>
      </c>
    </row>
    <row r="72" spans="1:8" x14ac:dyDescent="0.25">
      <c r="F72" s="29"/>
    </row>
    <row r="73" spans="1:8" x14ac:dyDescent="0.25">
      <c r="A73" s="4" t="s">
        <v>0</v>
      </c>
      <c r="B73" s="4" t="s">
        <v>73</v>
      </c>
      <c r="C73" s="4" t="s">
        <v>1</v>
      </c>
      <c r="D73" s="4" t="s">
        <v>2</v>
      </c>
      <c r="E73" s="5" t="s">
        <v>3</v>
      </c>
      <c r="F73" s="31" t="s">
        <v>4</v>
      </c>
      <c r="G73" s="4" t="s">
        <v>5</v>
      </c>
      <c r="H73" s="4" t="s">
        <v>72</v>
      </c>
    </row>
    <row r="74" spans="1:8" x14ac:dyDescent="0.25">
      <c r="A74" s="1">
        <v>1</v>
      </c>
      <c r="B74">
        <f t="shared" ref="B74:B78" si="2">IF(H74=1,MAX(21-A74,0),0)</f>
        <v>0</v>
      </c>
      <c r="C74" s="1" t="s">
        <v>1034</v>
      </c>
      <c r="D74" s="1" t="s">
        <v>360</v>
      </c>
      <c r="E74" s="3" t="s">
        <v>1035</v>
      </c>
      <c r="F74" s="32" t="s">
        <v>1036</v>
      </c>
      <c r="G74" s="1" t="s">
        <v>124</v>
      </c>
      <c r="H74" s="6">
        <f>COUNTIF(ValidTeams[],E74)</f>
        <v>0</v>
      </c>
    </row>
    <row r="75" spans="1:8" x14ac:dyDescent="0.25">
      <c r="A75" s="1">
        <v>2</v>
      </c>
      <c r="B75">
        <f t="shared" si="2"/>
        <v>0</v>
      </c>
      <c r="C75" s="1" t="s">
        <v>1037</v>
      </c>
      <c r="D75" s="1" t="s">
        <v>595</v>
      </c>
      <c r="E75" s="3" t="s">
        <v>852</v>
      </c>
      <c r="F75" s="32" t="s">
        <v>1019</v>
      </c>
      <c r="G75" s="1" t="s">
        <v>124</v>
      </c>
      <c r="H75" s="6">
        <f>COUNTIF(ValidTeams[],E75)</f>
        <v>0</v>
      </c>
    </row>
    <row r="76" spans="1:8" x14ac:dyDescent="0.25">
      <c r="A76">
        <v>3</v>
      </c>
      <c r="B76">
        <f t="shared" si="2"/>
        <v>0</v>
      </c>
      <c r="C76" t="s">
        <v>1038</v>
      </c>
      <c r="D76" t="s">
        <v>421</v>
      </c>
      <c r="E76" t="s">
        <v>1039</v>
      </c>
      <c r="F76" s="28">
        <v>1.834490740740741E-2</v>
      </c>
      <c r="G76" t="s">
        <v>124</v>
      </c>
      <c r="H76">
        <f>COUNTIF(ValidTeams[],E76)</f>
        <v>0</v>
      </c>
    </row>
    <row r="77" spans="1:8" x14ac:dyDescent="0.25">
      <c r="A77">
        <v>4</v>
      </c>
      <c r="B77">
        <f t="shared" si="2"/>
        <v>17</v>
      </c>
      <c r="C77" t="s">
        <v>122</v>
      </c>
      <c r="D77" t="s">
        <v>123</v>
      </c>
      <c r="E77" t="s">
        <v>12</v>
      </c>
      <c r="F77" s="28">
        <v>1.9432870370370371E-2</v>
      </c>
      <c r="G77" t="s">
        <v>124</v>
      </c>
      <c r="H77">
        <f>COUNTIF(ValidTeams[],E77)</f>
        <v>1</v>
      </c>
    </row>
    <row r="78" spans="1:8" x14ac:dyDescent="0.25">
      <c r="A78">
        <v>5</v>
      </c>
      <c r="B78">
        <f t="shared" si="2"/>
        <v>0</v>
      </c>
      <c r="E78"/>
      <c r="F78" s="28"/>
      <c r="G78" t="s">
        <v>124</v>
      </c>
      <c r="H78">
        <f>COUNTIF(ValidTeams[],E78)</f>
        <v>0</v>
      </c>
    </row>
    <row r="79" spans="1:8" x14ac:dyDescent="0.25">
      <c r="A79" s="1">
        <v>6</v>
      </c>
      <c r="B79" s="24">
        <f>IF(H79=1,MAX(21-A79,0),0)</f>
        <v>0</v>
      </c>
      <c r="C79" s="1"/>
      <c r="D79" s="1"/>
      <c r="E79" s="3"/>
      <c r="F79" s="32"/>
      <c r="G79" s="1" t="s">
        <v>124</v>
      </c>
      <c r="H79" s="24">
        <f>COUNTIF(ValidTeams[],E79)</f>
        <v>0</v>
      </c>
    </row>
    <row r="80" spans="1:8" x14ac:dyDescent="0.25">
      <c r="A80" s="1">
        <v>7</v>
      </c>
      <c r="B80" s="24">
        <f>IF(H80=1,MAX(21-A80,0),0)</f>
        <v>0</v>
      </c>
      <c r="C80" s="1"/>
      <c r="D80" s="1"/>
      <c r="E80" s="3"/>
      <c r="F80" s="32"/>
      <c r="G80" s="1" t="s">
        <v>124</v>
      </c>
      <c r="H80" s="24">
        <f>COUNTIF(ValidTeams[],E80)</f>
        <v>0</v>
      </c>
    </row>
    <row r="81" spans="1:8" x14ac:dyDescent="0.25">
      <c r="A81" s="1">
        <v>8</v>
      </c>
      <c r="B81" s="24">
        <f>IF(H81=1,MAX(21-A81,0),0)</f>
        <v>0</v>
      </c>
      <c r="C81" s="1"/>
      <c r="D81" s="1"/>
      <c r="E81" s="3"/>
      <c r="F81" s="32"/>
      <c r="G81" s="1" t="s">
        <v>124</v>
      </c>
      <c r="H81" s="24">
        <f>COUNTIF(ValidTeams[],E81)</f>
        <v>0</v>
      </c>
    </row>
    <row r="82" spans="1:8" x14ac:dyDescent="0.25">
      <c r="A82" s="6"/>
      <c r="B82" s="34"/>
      <c r="C82" s="6"/>
      <c r="D82" s="6"/>
      <c r="E82" s="21"/>
      <c r="F82" s="33"/>
      <c r="G82" s="6"/>
      <c r="H82" s="34"/>
    </row>
    <row r="83" spans="1:8" x14ac:dyDescent="0.25">
      <c r="A83" s="4" t="s">
        <v>0</v>
      </c>
      <c r="B83" s="4" t="s">
        <v>73</v>
      </c>
      <c r="C83" s="4" t="s">
        <v>1</v>
      </c>
      <c r="D83" s="4" t="s">
        <v>2</v>
      </c>
      <c r="E83" s="5" t="s">
        <v>3</v>
      </c>
      <c r="F83" s="31" t="s">
        <v>4</v>
      </c>
      <c r="G83" s="4" t="s">
        <v>5</v>
      </c>
      <c r="H83" s="4" t="s">
        <v>72</v>
      </c>
    </row>
    <row r="84" spans="1:8" x14ac:dyDescent="0.25">
      <c r="A84" s="1">
        <v>1</v>
      </c>
      <c r="B84">
        <f t="shared" ref="B84:B89" si="3">IF(H84=1,MAX(21-A84,0),0)</f>
        <v>0</v>
      </c>
      <c r="C84" s="1" t="s">
        <v>1040</v>
      </c>
      <c r="D84" s="1" t="s">
        <v>278</v>
      </c>
      <c r="E84" s="3" t="s">
        <v>1041</v>
      </c>
      <c r="F84" s="32" t="s">
        <v>1042</v>
      </c>
      <c r="G84" s="1" t="s">
        <v>135</v>
      </c>
      <c r="H84" s="6">
        <f>COUNTIF(ValidTeams[],E84)</f>
        <v>0</v>
      </c>
    </row>
    <row r="85" spans="1:8" x14ac:dyDescent="0.25">
      <c r="A85" s="1">
        <v>2</v>
      </c>
      <c r="B85">
        <f t="shared" si="3"/>
        <v>19</v>
      </c>
      <c r="C85" s="1" t="s">
        <v>134</v>
      </c>
      <c r="D85" s="1" t="s">
        <v>7</v>
      </c>
      <c r="E85" s="3" t="s">
        <v>34</v>
      </c>
      <c r="F85" s="32" t="s">
        <v>1043</v>
      </c>
      <c r="G85" s="1" t="s">
        <v>135</v>
      </c>
      <c r="H85" s="6">
        <f>COUNTIF(ValidTeams[],E85)</f>
        <v>1</v>
      </c>
    </row>
    <row r="86" spans="1:8" x14ac:dyDescent="0.25">
      <c r="A86" s="1">
        <v>3</v>
      </c>
      <c r="B86">
        <f t="shared" si="3"/>
        <v>0</v>
      </c>
      <c r="C86" s="1" t="s">
        <v>951</v>
      </c>
      <c r="D86" s="1" t="s">
        <v>952</v>
      </c>
      <c r="E86" s="3" t="s">
        <v>953</v>
      </c>
      <c r="F86" s="32" t="s">
        <v>1044</v>
      </c>
      <c r="G86" s="1" t="s">
        <v>135</v>
      </c>
      <c r="H86" s="6">
        <f>COUNTIF(ValidTeams[],E86)</f>
        <v>0</v>
      </c>
    </row>
    <row r="87" spans="1:8" x14ac:dyDescent="0.25">
      <c r="A87" s="1">
        <v>4</v>
      </c>
      <c r="B87">
        <f t="shared" si="3"/>
        <v>17</v>
      </c>
      <c r="C87" s="1" t="s">
        <v>1045</v>
      </c>
      <c r="D87" s="1" t="s">
        <v>30</v>
      </c>
      <c r="E87" s="3" t="s">
        <v>18</v>
      </c>
      <c r="F87" s="32" t="s">
        <v>1053</v>
      </c>
      <c r="G87" s="1" t="s">
        <v>135</v>
      </c>
      <c r="H87" s="6">
        <f>COUNTIF(ValidTeams[],E87)</f>
        <v>1</v>
      </c>
    </row>
    <row r="88" spans="1:8" x14ac:dyDescent="0.25">
      <c r="A88">
        <v>5</v>
      </c>
      <c r="B88">
        <f t="shared" si="3"/>
        <v>0</v>
      </c>
      <c r="C88" t="s">
        <v>1046</v>
      </c>
      <c r="D88" t="s">
        <v>511</v>
      </c>
      <c r="E88"/>
      <c r="F88" s="28">
        <v>1.7175925925925924E-2</v>
      </c>
      <c r="G88" t="s">
        <v>135</v>
      </c>
      <c r="H88">
        <f>COUNTIF(ValidTeams[],E88)</f>
        <v>0</v>
      </c>
    </row>
    <row r="89" spans="1:8" x14ac:dyDescent="0.25">
      <c r="A89">
        <v>6</v>
      </c>
      <c r="B89">
        <f t="shared" si="3"/>
        <v>15</v>
      </c>
      <c r="C89" t="s">
        <v>807</v>
      </c>
      <c r="D89" t="s">
        <v>595</v>
      </c>
      <c r="E89" t="s">
        <v>808</v>
      </c>
      <c r="F89" s="28">
        <v>1.7303240740740741E-2</v>
      </c>
      <c r="G89" t="s">
        <v>135</v>
      </c>
      <c r="H89">
        <f>COUNTIF(ValidTeams[],E89)</f>
        <v>1</v>
      </c>
    </row>
    <row r="90" spans="1:8" x14ac:dyDescent="0.25">
      <c r="A90" s="1">
        <v>7</v>
      </c>
      <c r="B90" s="24">
        <f>IF(H90=1,MAX(21-A90,0),0)</f>
        <v>0</v>
      </c>
      <c r="C90" s="1" t="s">
        <v>1047</v>
      </c>
      <c r="D90" s="1" t="s">
        <v>194</v>
      </c>
      <c r="E90" s="3" t="s">
        <v>1048</v>
      </c>
      <c r="F90" s="32" t="s">
        <v>1049</v>
      </c>
      <c r="G90" s="1" t="s">
        <v>135</v>
      </c>
      <c r="H90" s="24">
        <f>COUNTIF(ValidTeams[],E90)</f>
        <v>0</v>
      </c>
    </row>
    <row r="91" spans="1:8" x14ac:dyDescent="0.25">
      <c r="A91" s="1">
        <v>8</v>
      </c>
      <c r="B91" s="24">
        <f>IF(H91=1,MAX(21-A91,0),0)</f>
        <v>0</v>
      </c>
      <c r="C91" s="1" t="s">
        <v>1050</v>
      </c>
      <c r="D91" s="1" t="s">
        <v>360</v>
      </c>
      <c r="E91" s="3" t="s">
        <v>1051</v>
      </c>
      <c r="F91" s="32" t="s">
        <v>1052</v>
      </c>
      <c r="G91" s="1" t="s">
        <v>135</v>
      </c>
      <c r="H91" s="24">
        <f>COUNTIF(ValidTeams[],E91)</f>
        <v>0</v>
      </c>
    </row>
    <row r="92" spans="1:8" x14ac:dyDescent="0.25">
      <c r="A92" s="1">
        <v>9</v>
      </c>
      <c r="B92" s="24">
        <f>IF(H92=1,MAX(21-A92,0),0)</f>
        <v>12</v>
      </c>
      <c r="C92" s="1" t="s">
        <v>117</v>
      </c>
      <c r="D92" s="1" t="s">
        <v>139</v>
      </c>
      <c r="E92" s="3" t="s">
        <v>140</v>
      </c>
      <c r="F92" s="32" t="s">
        <v>1054</v>
      </c>
      <c r="G92" s="1" t="s">
        <v>135</v>
      </c>
      <c r="H92" s="24">
        <f>COUNTIF(ValidTeams[],E92)</f>
        <v>1</v>
      </c>
    </row>
    <row r="93" spans="1:8" x14ac:dyDescent="0.25">
      <c r="A93" s="1">
        <v>10</v>
      </c>
      <c r="B93" s="24">
        <f>IF(H93=1,MAX(21-A93,0),0)</f>
        <v>11</v>
      </c>
      <c r="C93" s="1" t="s">
        <v>811</v>
      </c>
      <c r="D93" s="1" t="s">
        <v>128</v>
      </c>
      <c r="E93" s="3" t="s">
        <v>251</v>
      </c>
      <c r="F93" s="32" t="s">
        <v>1055</v>
      </c>
      <c r="G93" s="1" t="s">
        <v>135</v>
      </c>
      <c r="H93" s="24">
        <f>COUNTIF(ValidTeams[],E93)</f>
        <v>1</v>
      </c>
    </row>
    <row r="94" spans="1:8" x14ac:dyDescent="0.25">
      <c r="A94" s="6"/>
      <c r="B94" s="34"/>
      <c r="C94" s="6"/>
      <c r="D94" s="6"/>
      <c r="E94" s="21"/>
      <c r="F94" s="33"/>
      <c r="G94" s="6"/>
      <c r="H94" s="34"/>
    </row>
    <row r="95" spans="1:8" x14ac:dyDescent="0.25">
      <c r="A95" s="4" t="s">
        <v>0</v>
      </c>
      <c r="B95" s="4" t="s">
        <v>73</v>
      </c>
      <c r="C95" s="4" t="s">
        <v>1</v>
      </c>
      <c r="D95" s="4" t="s">
        <v>2</v>
      </c>
      <c r="E95" s="5" t="s">
        <v>3</v>
      </c>
      <c r="F95" s="31" t="s">
        <v>4</v>
      </c>
      <c r="G95" s="4" t="s">
        <v>5</v>
      </c>
      <c r="H95" s="4" t="s">
        <v>72</v>
      </c>
    </row>
    <row r="96" spans="1:8" x14ac:dyDescent="0.25">
      <c r="A96" s="1">
        <v>1</v>
      </c>
      <c r="B96">
        <f t="shared" ref="B96:B108" si="4">IF(H96=1,MAX(21-A96,0),0)</f>
        <v>0</v>
      </c>
      <c r="C96" s="1" t="s">
        <v>1056</v>
      </c>
      <c r="D96" s="1" t="s">
        <v>1057</v>
      </c>
      <c r="E96" s="3" t="s">
        <v>1058</v>
      </c>
      <c r="F96" s="32" t="s">
        <v>1059</v>
      </c>
      <c r="G96" s="1" t="s">
        <v>178</v>
      </c>
      <c r="H96" s="6">
        <f>COUNTIF(ValidTeams[],E96)</f>
        <v>0</v>
      </c>
    </row>
    <row r="97" spans="1:8" x14ac:dyDescent="0.25">
      <c r="A97" s="1">
        <v>2</v>
      </c>
      <c r="B97">
        <f t="shared" si="4"/>
        <v>0</v>
      </c>
      <c r="C97" s="1" t="s">
        <v>1060</v>
      </c>
      <c r="D97" s="1" t="s">
        <v>33</v>
      </c>
      <c r="E97" s="3" t="s">
        <v>1061</v>
      </c>
      <c r="F97" s="32" t="s">
        <v>1062</v>
      </c>
      <c r="G97" s="1" t="s">
        <v>178</v>
      </c>
      <c r="H97" s="6">
        <f>COUNTIF(ValidTeams[],E97)</f>
        <v>0</v>
      </c>
    </row>
    <row r="98" spans="1:8" x14ac:dyDescent="0.25">
      <c r="A98" s="1">
        <v>3</v>
      </c>
      <c r="B98">
        <f t="shared" si="4"/>
        <v>18</v>
      </c>
      <c r="C98" s="1" t="s">
        <v>183</v>
      </c>
      <c r="D98" s="1" t="s">
        <v>184</v>
      </c>
      <c r="E98" s="3" t="s">
        <v>100</v>
      </c>
      <c r="F98" s="32" t="s">
        <v>1018</v>
      </c>
      <c r="G98" s="1" t="s">
        <v>178</v>
      </c>
      <c r="H98" s="6">
        <f>COUNTIF(ValidTeams[],E98)</f>
        <v>1</v>
      </c>
    </row>
    <row r="99" spans="1:8" x14ac:dyDescent="0.25">
      <c r="A99" s="1">
        <v>4</v>
      </c>
      <c r="B99">
        <f t="shared" si="4"/>
        <v>17</v>
      </c>
      <c r="C99" s="1" t="s">
        <v>1063</v>
      </c>
      <c r="D99" s="1" t="s">
        <v>27</v>
      </c>
      <c r="E99" s="3" t="s">
        <v>18</v>
      </c>
      <c r="F99" s="32" t="s">
        <v>1064</v>
      </c>
      <c r="G99" s="1" t="s">
        <v>178</v>
      </c>
      <c r="H99" s="6">
        <f>COUNTIF(ValidTeams[],E99)</f>
        <v>1</v>
      </c>
    </row>
    <row r="100" spans="1:8" x14ac:dyDescent="0.25">
      <c r="A100" s="1">
        <v>5</v>
      </c>
      <c r="B100">
        <f t="shared" si="4"/>
        <v>16</v>
      </c>
      <c r="C100" s="1" t="s">
        <v>179</v>
      </c>
      <c r="D100" s="1" t="s">
        <v>24</v>
      </c>
      <c r="E100" s="3" t="s">
        <v>100</v>
      </c>
      <c r="F100" s="32" t="s">
        <v>1066</v>
      </c>
      <c r="G100" s="1" t="s">
        <v>178</v>
      </c>
      <c r="H100" s="6">
        <f>COUNTIF(ValidTeams[],E100)</f>
        <v>1</v>
      </c>
    </row>
    <row r="101" spans="1:8" x14ac:dyDescent="0.25">
      <c r="A101" s="1">
        <v>6</v>
      </c>
      <c r="B101">
        <f t="shared" si="4"/>
        <v>15</v>
      </c>
      <c r="C101" s="1" t="s">
        <v>186</v>
      </c>
      <c r="D101" s="1" t="s">
        <v>187</v>
      </c>
      <c r="E101" s="3" t="s">
        <v>8</v>
      </c>
      <c r="F101" s="32" t="s">
        <v>1068</v>
      </c>
      <c r="G101" s="1" t="s">
        <v>178</v>
      </c>
      <c r="H101" s="6">
        <f>COUNTIF(ValidTeams[],E101)</f>
        <v>1</v>
      </c>
    </row>
    <row r="102" spans="1:8" x14ac:dyDescent="0.25">
      <c r="A102" s="1">
        <v>7</v>
      </c>
      <c r="B102">
        <f t="shared" si="4"/>
        <v>14</v>
      </c>
      <c r="C102" s="1" t="s">
        <v>193</v>
      </c>
      <c r="D102" s="1" t="s">
        <v>194</v>
      </c>
      <c r="E102" s="3" t="s">
        <v>442</v>
      </c>
      <c r="F102" s="32" t="s">
        <v>1069</v>
      </c>
      <c r="G102" s="1" t="s">
        <v>178</v>
      </c>
      <c r="H102" s="6">
        <f>COUNTIF(ValidTeams[],E102)</f>
        <v>1</v>
      </c>
    </row>
    <row r="103" spans="1:8" x14ac:dyDescent="0.25">
      <c r="A103" s="1">
        <v>8</v>
      </c>
      <c r="B103">
        <f t="shared" si="4"/>
        <v>13</v>
      </c>
      <c r="C103" s="1" t="s">
        <v>66</v>
      </c>
      <c r="D103" s="1" t="s">
        <v>176</v>
      </c>
      <c r="E103" s="3" t="s">
        <v>442</v>
      </c>
      <c r="F103" s="32" t="s">
        <v>1070</v>
      </c>
      <c r="G103" s="1" t="s">
        <v>178</v>
      </c>
      <c r="H103" s="6">
        <f>COUNTIF(ValidTeams[],E103)</f>
        <v>1</v>
      </c>
    </row>
    <row r="104" spans="1:8" x14ac:dyDescent="0.25">
      <c r="A104" s="1">
        <v>9</v>
      </c>
      <c r="B104">
        <f t="shared" si="4"/>
        <v>12</v>
      </c>
      <c r="C104" s="1" t="s">
        <v>196</v>
      </c>
      <c r="D104" s="1" t="s">
        <v>128</v>
      </c>
      <c r="E104" s="3" t="s">
        <v>38</v>
      </c>
      <c r="F104" s="32" t="s">
        <v>1071</v>
      </c>
      <c r="G104" s="1" t="s">
        <v>178</v>
      </c>
      <c r="H104" s="6">
        <f>COUNTIF(ValidTeams[],E104)</f>
        <v>1</v>
      </c>
    </row>
    <row r="105" spans="1:8" x14ac:dyDescent="0.25">
      <c r="A105" s="1">
        <v>10</v>
      </c>
      <c r="B105">
        <f t="shared" si="4"/>
        <v>0</v>
      </c>
      <c r="C105" s="1" t="s">
        <v>205</v>
      </c>
      <c r="D105" s="1" t="s">
        <v>206</v>
      </c>
      <c r="E105" s="3" t="s">
        <v>207</v>
      </c>
      <c r="F105" s="32" t="s">
        <v>1031</v>
      </c>
      <c r="G105" s="1" t="s">
        <v>178</v>
      </c>
      <c r="H105" s="6">
        <f>COUNTIF(ValidTeams[],E105)</f>
        <v>0</v>
      </c>
    </row>
    <row r="106" spans="1:8" x14ac:dyDescent="0.25">
      <c r="A106" s="1">
        <v>11</v>
      </c>
      <c r="B106">
        <f t="shared" si="4"/>
        <v>10</v>
      </c>
      <c r="C106" s="1" t="s">
        <v>550</v>
      </c>
      <c r="D106" s="1" t="s">
        <v>601</v>
      </c>
      <c r="E106" s="3" t="s">
        <v>691</v>
      </c>
      <c r="F106" s="32" t="s">
        <v>1072</v>
      </c>
      <c r="G106" s="1" t="s">
        <v>178</v>
      </c>
      <c r="H106" s="6">
        <f>COUNTIF(ValidTeams[],E106)</f>
        <v>1</v>
      </c>
    </row>
    <row r="107" spans="1:8" x14ac:dyDescent="0.25">
      <c r="A107" s="1">
        <v>12</v>
      </c>
      <c r="B107">
        <f t="shared" si="4"/>
        <v>9</v>
      </c>
      <c r="C107" s="1" t="s">
        <v>181</v>
      </c>
      <c r="D107" s="1" t="s">
        <v>132</v>
      </c>
      <c r="E107" s="3" t="s">
        <v>34</v>
      </c>
      <c r="F107" s="32" t="s">
        <v>1073</v>
      </c>
      <c r="G107" s="1" t="s">
        <v>178</v>
      </c>
      <c r="H107" s="6">
        <f>COUNTIF(ValidTeams[],E107)</f>
        <v>1</v>
      </c>
    </row>
    <row r="108" spans="1:8" x14ac:dyDescent="0.25">
      <c r="A108" s="1">
        <v>13</v>
      </c>
      <c r="B108">
        <f t="shared" si="4"/>
        <v>0</v>
      </c>
      <c r="C108" s="1"/>
      <c r="D108" s="1"/>
      <c r="E108" s="3"/>
      <c r="F108" s="32"/>
      <c r="G108" s="1" t="s">
        <v>178</v>
      </c>
      <c r="H108" s="6">
        <f>COUNTIF(ValidTeams[],E108)</f>
        <v>0</v>
      </c>
    </row>
    <row r="109" spans="1:8" x14ac:dyDescent="0.25">
      <c r="F109" s="29"/>
    </row>
    <row r="110" spans="1:8" x14ac:dyDescent="0.25">
      <c r="A110" s="4" t="s">
        <v>0</v>
      </c>
      <c r="B110" s="4" t="s">
        <v>73</v>
      </c>
      <c r="C110" s="4" t="s">
        <v>1</v>
      </c>
      <c r="D110" s="4" t="s">
        <v>2</v>
      </c>
      <c r="E110" s="5" t="s">
        <v>3</v>
      </c>
      <c r="F110" s="31" t="s">
        <v>4</v>
      </c>
      <c r="G110" s="4" t="s">
        <v>5</v>
      </c>
      <c r="H110" s="4" t="s">
        <v>72</v>
      </c>
    </row>
    <row r="111" spans="1:8" x14ac:dyDescent="0.25">
      <c r="A111" s="1">
        <v>1</v>
      </c>
      <c r="B111">
        <f t="shared" ref="B111:B119" si="5">IF(H111=1,MAX(21-A111,0),0)</f>
        <v>20</v>
      </c>
      <c r="C111" s="1" t="s">
        <v>828</v>
      </c>
      <c r="D111" s="1" t="s">
        <v>829</v>
      </c>
      <c r="E111" s="3" t="s">
        <v>18</v>
      </c>
      <c r="F111" s="32" t="s">
        <v>1074</v>
      </c>
      <c r="G111" s="1" t="s">
        <v>217</v>
      </c>
      <c r="H111" s="6">
        <f>COUNTIF(ValidTeams[],E111)</f>
        <v>1</v>
      </c>
    </row>
    <row r="112" spans="1:8" x14ac:dyDescent="0.25">
      <c r="A112" s="1">
        <v>2</v>
      </c>
      <c r="B112">
        <f t="shared" si="5"/>
        <v>19</v>
      </c>
      <c r="C112" s="1" t="s">
        <v>218</v>
      </c>
      <c r="D112" s="1" t="s">
        <v>114</v>
      </c>
      <c r="E112" s="3" t="s">
        <v>18</v>
      </c>
      <c r="F112" s="32" t="s">
        <v>1075</v>
      </c>
      <c r="G112" s="1" t="s">
        <v>217</v>
      </c>
      <c r="H112" s="6">
        <f>COUNTIF(ValidTeams[],E112)</f>
        <v>1</v>
      </c>
    </row>
    <row r="113" spans="1:8" x14ac:dyDescent="0.25">
      <c r="A113" s="1">
        <v>3</v>
      </c>
      <c r="B113">
        <f t="shared" si="5"/>
        <v>18</v>
      </c>
      <c r="C113" s="1" t="s">
        <v>220</v>
      </c>
      <c r="D113" s="1" t="s">
        <v>221</v>
      </c>
      <c r="E113" s="3" t="s">
        <v>222</v>
      </c>
      <c r="F113" s="32" t="s">
        <v>1024</v>
      </c>
      <c r="G113" s="1" t="s">
        <v>217</v>
      </c>
      <c r="H113" s="6">
        <f>COUNTIF(ValidTeams[],E113)</f>
        <v>1</v>
      </c>
    </row>
    <row r="114" spans="1:8" x14ac:dyDescent="0.25">
      <c r="A114" s="1">
        <v>4</v>
      </c>
      <c r="B114">
        <f t="shared" si="5"/>
        <v>17</v>
      </c>
      <c r="C114" s="1" t="s">
        <v>1076</v>
      </c>
      <c r="D114" s="1" t="s">
        <v>174</v>
      </c>
      <c r="E114" s="3" t="s">
        <v>251</v>
      </c>
      <c r="F114" s="32" t="s">
        <v>1027</v>
      </c>
      <c r="G114" s="1" t="s">
        <v>217</v>
      </c>
      <c r="H114" s="6">
        <f>COUNTIF(ValidTeams[],E114)</f>
        <v>1</v>
      </c>
    </row>
    <row r="115" spans="1:8" x14ac:dyDescent="0.25">
      <c r="A115" s="1">
        <v>5</v>
      </c>
      <c r="B115">
        <f t="shared" si="5"/>
        <v>16</v>
      </c>
      <c r="C115" s="1" t="s">
        <v>224</v>
      </c>
      <c r="D115" s="1" t="s">
        <v>225</v>
      </c>
      <c r="E115" s="3" t="s">
        <v>226</v>
      </c>
      <c r="F115" s="32" t="s">
        <v>1065</v>
      </c>
      <c r="G115" s="1" t="s">
        <v>217</v>
      </c>
      <c r="H115" s="6">
        <f>COUNTIF(ValidTeams[],E115)</f>
        <v>1</v>
      </c>
    </row>
    <row r="116" spans="1:8" x14ac:dyDescent="0.25">
      <c r="A116" s="1">
        <v>6</v>
      </c>
      <c r="B116">
        <f t="shared" si="5"/>
        <v>15</v>
      </c>
      <c r="C116" s="1" t="s">
        <v>1077</v>
      </c>
      <c r="D116" s="1" t="s">
        <v>1078</v>
      </c>
      <c r="E116" s="3" t="s">
        <v>44</v>
      </c>
      <c r="F116" s="32" t="s">
        <v>1079</v>
      </c>
      <c r="G116" s="1" t="s">
        <v>217</v>
      </c>
      <c r="H116" s="6">
        <f>COUNTIF(ValidTeams[],E116)</f>
        <v>1</v>
      </c>
    </row>
    <row r="117" spans="1:8" x14ac:dyDescent="0.25">
      <c r="A117" s="1">
        <v>7</v>
      </c>
      <c r="B117">
        <f t="shared" si="5"/>
        <v>0</v>
      </c>
      <c r="C117" s="1" t="s">
        <v>1080</v>
      </c>
      <c r="D117" s="1" t="s">
        <v>1081</v>
      </c>
      <c r="E117" s="3"/>
      <c r="F117" s="32" t="s">
        <v>1082</v>
      </c>
      <c r="G117" s="1" t="s">
        <v>217</v>
      </c>
      <c r="H117" s="6">
        <f>COUNTIF(ValidTeams[],E117)</f>
        <v>0</v>
      </c>
    </row>
    <row r="118" spans="1:8" x14ac:dyDescent="0.25">
      <c r="A118" s="1">
        <v>8</v>
      </c>
      <c r="B118">
        <f t="shared" si="5"/>
        <v>0</v>
      </c>
      <c r="C118" s="1"/>
      <c r="D118" s="1"/>
      <c r="E118" s="3"/>
      <c r="F118" s="32"/>
      <c r="G118" s="1" t="s">
        <v>217</v>
      </c>
      <c r="H118" s="6">
        <f>COUNTIF(ValidTeams[],E118)</f>
        <v>0</v>
      </c>
    </row>
    <row r="119" spans="1:8" x14ac:dyDescent="0.25">
      <c r="A119" s="1">
        <v>9</v>
      </c>
      <c r="B119">
        <f t="shared" si="5"/>
        <v>0</v>
      </c>
      <c r="C119" s="1"/>
      <c r="D119" s="1"/>
      <c r="E119" s="3"/>
      <c r="F119" s="32"/>
      <c r="G119" s="1" t="s">
        <v>217</v>
      </c>
      <c r="H119" s="6">
        <f>COUNTIF(ValidTeams[],E119)</f>
        <v>0</v>
      </c>
    </row>
    <row r="120" spans="1:8" x14ac:dyDescent="0.25">
      <c r="A120" s="1">
        <v>10</v>
      </c>
      <c r="B120" s="24">
        <f>IF(H120=1,MAX(21-A120,0),0)</f>
        <v>0</v>
      </c>
      <c r="C120" s="1"/>
      <c r="D120" s="1"/>
      <c r="E120" s="3"/>
      <c r="F120" s="32"/>
      <c r="G120" s="1" t="s">
        <v>217</v>
      </c>
      <c r="H120" s="24">
        <f>COUNTIF(ValidTeams[],E120)</f>
        <v>0</v>
      </c>
    </row>
    <row r="121" spans="1:8" x14ac:dyDescent="0.25">
      <c r="A121" s="1">
        <v>11</v>
      </c>
      <c r="B121" s="24">
        <f>IF(H121=1,MAX(21-A121,0),0)</f>
        <v>0</v>
      </c>
      <c r="C121" s="1"/>
      <c r="D121" s="1"/>
      <c r="E121" s="3"/>
      <c r="F121" s="32"/>
      <c r="G121" s="1" t="s">
        <v>217</v>
      </c>
      <c r="H121" s="24">
        <f>COUNTIF(ValidTeams[],E121)</f>
        <v>0</v>
      </c>
    </row>
    <row r="122" spans="1:8" x14ac:dyDescent="0.25">
      <c r="A122" s="1">
        <v>12</v>
      </c>
      <c r="B122" s="24">
        <f>IF(H122=1,MAX(21-A122,0),0)</f>
        <v>0</v>
      </c>
      <c r="C122" s="1"/>
      <c r="D122" s="1"/>
      <c r="E122" s="3"/>
      <c r="F122" s="32"/>
      <c r="G122" s="1" t="s">
        <v>217</v>
      </c>
      <c r="H122" s="24">
        <f>COUNTIF(ValidTeams[],E122)</f>
        <v>0</v>
      </c>
    </row>
    <row r="123" spans="1:8" x14ac:dyDescent="0.25">
      <c r="A123" s="1">
        <v>13</v>
      </c>
      <c r="B123" s="24">
        <f>IF(H123=1,MAX(21-A123,0),0)</f>
        <v>0</v>
      </c>
      <c r="C123" s="1"/>
      <c r="D123" s="1"/>
      <c r="E123" s="3"/>
      <c r="F123" s="32"/>
      <c r="G123" s="1" t="s">
        <v>217</v>
      </c>
      <c r="H123" s="24">
        <f>COUNTIF(ValidTeams[],E123)</f>
        <v>0</v>
      </c>
    </row>
    <row r="124" spans="1:8" x14ac:dyDescent="0.25">
      <c r="A124" s="6"/>
      <c r="B124" s="34"/>
      <c r="C124" s="6"/>
      <c r="D124" s="6"/>
      <c r="E124" s="21"/>
      <c r="F124" s="33"/>
      <c r="G124" s="6"/>
      <c r="H124" s="34"/>
    </row>
    <row r="125" spans="1:8" x14ac:dyDescent="0.25">
      <c r="A125" s="4" t="s">
        <v>0</v>
      </c>
      <c r="B125" s="4" t="s">
        <v>73</v>
      </c>
      <c r="C125" s="4" t="s">
        <v>1</v>
      </c>
      <c r="D125" s="4" t="s">
        <v>2</v>
      </c>
      <c r="E125" s="5" t="s">
        <v>3</v>
      </c>
      <c r="F125" s="31" t="s">
        <v>4</v>
      </c>
      <c r="G125" s="4" t="s">
        <v>5</v>
      </c>
      <c r="H125" s="4" t="s">
        <v>72</v>
      </c>
    </row>
    <row r="126" spans="1:8" x14ac:dyDescent="0.25">
      <c r="A126" s="1">
        <v>1</v>
      </c>
      <c r="B126">
        <f t="shared" ref="B126:B131" si="6">IF(H126=1,MAX(21-A126,0),0)</f>
        <v>0</v>
      </c>
      <c r="C126" s="1" t="s">
        <v>850</v>
      </c>
      <c r="D126" s="1" t="s">
        <v>851</v>
      </c>
      <c r="E126" s="3" t="s">
        <v>852</v>
      </c>
      <c r="F126" s="32" t="s">
        <v>1083</v>
      </c>
      <c r="G126" s="1" t="s">
        <v>248</v>
      </c>
      <c r="H126" s="6">
        <f>COUNTIF(ValidTeams[],E126)</f>
        <v>0</v>
      </c>
    </row>
    <row r="127" spans="1:8" x14ac:dyDescent="0.25">
      <c r="A127" s="1">
        <v>2</v>
      </c>
      <c r="B127">
        <f t="shared" si="6"/>
        <v>19</v>
      </c>
      <c r="C127" s="1" t="s">
        <v>113</v>
      </c>
      <c r="D127" s="1" t="s">
        <v>253</v>
      </c>
      <c r="E127" s="3" t="s">
        <v>254</v>
      </c>
      <c r="F127" s="32" t="s">
        <v>1084</v>
      </c>
      <c r="G127" s="1" t="s">
        <v>248</v>
      </c>
      <c r="H127" s="6">
        <f>COUNTIF(ValidTeams[],E127)</f>
        <v>1</v>
      </c>
    </row>
    <row r="128" spans="1:8" x14ac:dyDescent="0.25">
      <c r="A128" s="1">
        <v>3</v>
      </c>
      <c r="B128">
        <f t="shared" si="6"/>
        <v>0</v>
      </c>
      <c r="C128" s="1"/>
      <c r="D128" s="1"/>
      <c r="E128" s="3"/>
      <c r="F128" s="32"/>
      <c r="G128" s="1" t="s">
        <v>248</v>
      </c>
      <c r="H128" s="6">
        <f>COUNTIF(ValidTeams[],E128)</f>
        <v>0</v>
      </c>
    </row>
    <row r="129" spans="1:8" x14ac:dyDescent="0.25">
      <c r="A129">
        <v>4</v>
      </c>
      <c r="B129">
        <f t="shared" si="6"/>
        <v>0</v>
      </c>
      <c r="E129"/>
      <c r="F129" s="28"/>
      <c r="G129" t="s">
        <v>248</v>
      </c>
      <c r="H129">
        <f>COUNTIF(ValidTeams[],E129)</f>
        <v>0</v>
      </c>
    </row>
    <row r="130" spans="1:8" x14ac:dyDescent="0.25">
      <c r="A130">
        <v>5</v>
      </c>
      <c r="B130">
        <f t="shared" si="6"/>
        <v>0</v>
      </c>
      <c r="E130"/>
      <c r="F130" s="28"/>
      <c r="G130" t="s">
        <v>248</v>
      </c>
      <c r="H130">
        <f>COUNTIF(ValidTeams[],E130)</f>
        <v>0</v>
      </c>
    </row>
    <row r="131" spans="1:8" x14ac:dyDescent="0.25">
      <c r="A131">
        <v>6</v>
      </c>
      <c r="B131">
        <f t="shared" si="6"/>
        <v>0</v>
      </c>
      <c r="E131"/>
      <c r="F131" s="28"/>
      <c r="G131" t="s">
        <v>248</v>
      </c>
      <c r="H131">
        <f>COUNTIF(ValidTeams[],E131)</f>
        <v>0</v>
      </c>
    </row>
    <row r="132" spans="1:8" x14ac:dyDescent="0.25">
      <c r="A132" s="1">
        <v>7</v>
      </c>
      <c r="B132" s="24">
        <f>IF(H132=1,MAX(21-A132,0),0)</f>
        <v>0</v>
      </c>
      <c r="C132" s="1"/>
      <c r="D132" s="1"/>
      <c r="E132" s="3"/>
      <c r="F132" s="32"/>
      <c r="G132" s="1" t="s">
        <v>248</v>
      </c>
      <c r="H132" s="24">
        <f>COUNTIF(ValidTeams[],E132)</f>
        <v>0</v>
      </c>
    </row>
    <row r="133" spans="1:8" x14ac:dyDescent="0.25">
      <c r="A133" s="6"/>
      <c r="B133" s="34"/>
      <c r="C133" s="6"/>
      <c r="D133" s="6"/>
      <c r="E133" s="21"/>
      <c r="F133" s="33"/>
      <c r="G133" s="6"/>
      <c r="H133" s="34"/>
    </row>
    <row r="134" spans="1:8" x14ac:dyDescent="0.25">
      <c r="A134" s="4" t="s">
        <v>0</v>
      </c>
      <c r="B134" s="4" t="s">
        <v>73</v>
      </c>
      <c r="C134" s="4" t="s">
        <v>1</v>
      </c>
      <c r="D134" s="4" t="s">
        <v>2</v>
      </c>
      <c r="E134" s="5" t="s">
        <v>3</v>
      </c>
      <c r="F134" s="31" t="s">
        <v>4</v>
      </c>
      <c r="G134" s="4" t="s">
        <v>5</v>
      </c>
      <c r="H134" s="4" t="s">
        <v>72</v>
      </c>
    </row>
    <row r="135" spans="1:8" x14ac:dyDescent="0.25">
      <c r="A135" s="1">
        <v>1</v>
      </c>
      <c r="B135">
        <f t="shared" ref="B135:B156" si="7">IF(H135=1,MAX(21-A135,0),0)</f>
        <v>20</v>
      </c>
      <c r="C135" s="1" t="s">
        <v>286</v>
      </c>
      <c r="D135" s="1" t="s">
        <v>287</v>
      </c>
      <c r="E135" s="3" t="s">
        <v>38</v>
      </c>
      <c r="F135" s="32" t="s">
        <v>1085</v>
      </c>
      <c r="G135" s="1" t="s">
        <v>269</v>
      </c>
      <c r="H135" s="6">
        <f>COUNTIF(ValidTeams[],E135)</f>
        <v>1</v>
      </c>
    </row>
    <row r="136" spans="1:8" x14ac:dyDescent="0.25">
      <c r="A136" s="1">
        <v>2</v>
      </c>
      <c r="B136">
        <f t="shared" si="7"/>
        <v>19</v>
      </c>
      <c r="C136" s="1" t="s">
        <v>270</v>
      </c>
      <c r="D136" s="1" t="s">
        <v>24</v>
      </c>
      <c r="E136" s="3" t="s">
        <v>271</v>
      </c>
      <c r="F136" s="32" t="s">
        <v>1086</v>
      </c>
      <c r="G136" s="1" t="s">
        <v>269</v>
      </c>
      <c r="H136" s="6">
        <f>COUNTIF(ValidTeams[],E136)</f>
        <v>1</v>
      </c>
    </row>
    <row r="137" spans="1:8" x14ac:dyDescent="0.25">
      <c r="A137" s="1">
        <v>3</v>
      </c>
      <c r="B137">
        <f t="shared" si="7"/>
        <v>18</v>
      </c>
      <c r="C137" s="1" t="s">
        <v>1087</v>
      </c>
      <c r="D137" s="1" t="s">
        <v>1088</v>
      </c>
      <c r="E137" s="3" t="s">
        <v>222</v>
      </c>
      <c r="F137" s="32" t="s">
        <v>1089</v>
      </c>
      <c r="G137" s="1" t="s">
        <v>269</v>
      </c>
      <c r="H137" s="6">
        <f>COUNTIF(ValidTeams[],E137)</f>
        <v>1</v>
      </c>
    </row>
    <row r="138" spans="1:8" x14ac:dyDescent="0.25">
      <c r="A138" s="1">
        <v>4</v>
      </c>
      <c r="B138">
        <f t="shared" si="7"/>
        <v>17</v>
      </c>
      <c r="C138" s="1" t="s">
        <v>826</v>
      </c>
      <c r="D138" s="1" t="s">
        <v>383</v>
      </c>
      <c r="E138" s="3" t="s">
        <v>222</v>
      </c>
      <c r="F138" s="32" t="s">
        <v>1090</v>
      </c>
      <c r="G138" s="1" t="s">
        <v>269</v>
      </c>
      <c r="H138" s="6">
        <f>COUNTIF(ValidTeams[],E138)</f>
        <v>1</v>
      </c>
    </row>
    <row r="139" spans="1:8" x14ac:dyDescent="0.25">
      <c r="A139" s="1">
        <v>5</v>
      </c>
      <c r="B139">
        <f t="shared" si="7"/>
        <v>16</v>
      </c>
      <c r="C139" s="1" t="s">
        <v>106</v>
      </c>
      <c r="D139" s="1" t="s">
        <v>107</v>
      </c>
      <c r="E139" s="3" t="s">
        <v>100</v>
      </c>
      <c r="F139" s="32" t="s">
        <v>1091</v>
      </c>
      <c r="G139" s="1" t="s">
        <v>269</v>
      </c>
      <c r="H139" s="6">
        <f>COUNTIF(ValidTeams[],E139)</f>
        <v>1</v>
      </c>
    </row>
    <row r="140" spans="1:8" x14ac:dyDescent="0.25">
      <c r="A140" s="1">
        <v>6</v>
      </c>
      <c r="B140">
        <f t="shared" si="7"/>
        <v>15</v>
      </c>
      <c r="C140" s="1" t="s">
        <v>283</v>
      </c>
      <c r="D140" s="1" t="s">
        <v>1092</v>
      </c>
      <c r="E140" s="3" t="s">
        <v>18</v>
      </c>
      <c r="F140" s="32" t="s">
        <v>1093</v>
      </c>
      <c r="G140" s="1" t="s">
        <v>269</v>
      </c>
      <c r="H140" s="6">
        <f>COUNTIF(ValidTeams[],E140)</f>
        <v>1</v>
      </c>
    </row>
    <row r="141" spans="1:8" x14ac:dyDescent="0.25">
      <c r="A141" s="1">
        <v>7</v>
      </c>
      <c r="B141">
        <f t="shared" si="7"/>
        <v>14</v>
      </c>
      <c r="C141" s="1" t="s">
        <v>625</v>
      </c>
      <c r="D141" s="1" t="s">
        <v>174</v>
      </c>
      <c r="E141" s="3" t="s">
        <v>290</v>
      </c>
      <c r="F141" s="32" t="s">
        <v>1094</v>
      </c>
      <c r="G141" s="1" t="s">
        <v>269</v>
      </c>
      <c r="H141" s="6">
        <f>COUNTIF(ValidTeams[],E141)</f>
        <v>1</v>
      </c>
    </row>
    <row r="142" spans="1:8" x14ac:dyDescent="0.25">
      <c r="A142" s="1">
        <v>8</v>
      </c>
      <c r="B142">
        <f t="shared" si="7"/>
        <v>13</v>
      </c>
      <c r="C142" s="1" t="s">
        <v>1095</v>
      </c>
      <c r="D142" s="1" t="s">
        <v>1096</v>
      </c>
      <c r="E142" s="3" t="s">
        <v>222</v>
      </c>
      <c r="F142" s="32" t="s">
        <v>1097</v>
      </c>
      <c r="G142" s="1" t="s">
        <v>269</v>
      </c>
      <c r="H142" s="6">
        <f>COUNTIF(ValidTeams[],E142)</f>
        <v>1</v>
      </c>
    </row>
    <row r="143" spans="1:8" x14ac:dyDescent="0.25">
      <c r="A143" s="1">
        <v>9</v>
      </c>
      <c r="B143">
        <f t="shared" si="7"/>
        <v>0</v>
      </c>
      <c r="C143" s="1" t="s">
        <v>1098</v>
      </c>
      <c r="D143" s="1" t="s">
        <v>33</v>
      </c>
      <c r="E143" s="3" t="s">
        <v>1099</v>
      </c>
      <c r="F143" s="32" t="s">
        <v>1100</v>
      </c>
      <c r="G143" s="1" t="s">
        <v>269</v>
      </c>
      <c r="H143" s="6">
        <f>COUNTIF(ValidTeams[],E143)</f>
        <v>0</v>
      </c>
    </row>
    <row r="144" spans="1:8" x14ac:dyDescent="0.25">
      <c r="A144" s="1">
        <v>10</v>
      </c>
      <c r="B144">
        <f t="shared" si="7"/>
        <v>0</v>
      </c>
      <c r="C144" s="1" t="s">
        <v>113</v>
      </c>
      <c r="D144" s="1" t="s">
        <v>114</v>
      </c>
      <c r="E144" s="3"/>
      <c r="F144" s="32" t="s">
        <v>1101</v>
      </c>
      <c r="G144" s="1" t="s">
        <v>269</v>
      </c>
      <c r="H144" s="6">
        <f>COUNTIF(ValidTeams[],E144)</f>
        <v>0</v>
      </c>
    </row>
    <row r="145" spans="1:8" x14ac:dyDescent="0.25">
      <c r="A145" s="1">
        <v>11</v>
      </c>
      <c r="B145">
        <f t="shared" si="7"/>
        <v>0</v>
      </c>
      <c r="C145" s="1" t="s">
        <v>550</v>
      </c>
      <c r="D145" s="1" t="s">
        <v>585</v>
      </c>
      <c r="E145" s="3"/>
      <c r="F145" s="32" t="s">
        <v>1102</v>
      </c>
      <c r="G145" s="1" t="s">
        <v>269</v>
      </c>
      <c r="H145" s="6">
        <f>COUNTIF(ValidTeams[],E145)</f>
        <v>0</v>
      </c>
    </row>
    <row r="146" spans="1:8" x14ac:dyDescent="0.25">
      <c r="A146" s="1">
        <v>12</v>
      </c>
      <c r="B146">
        <f t="shared" si="7"/>
        <v>0</v>
      </c>
      <c r="C146" s="1" t="s">
        <v>1103</v>
      </c>
      <c r="D146" s="1" t="s">
        <v>1104</v>
      </c>
      <c r="E146" s="3" t="s">
        <v>1103</v>
      </c>
      <c r="F146" s="32" t="s">
        <v>1105</v>
      </c>
      <c r="G146" s="1" t="s">
        <v>269</v>
      </c>
      <c r="H146" s="6">
        <f>COUNTIF(ValidTeams[],E146)</f>
        <v>0</v>
      </c>
    </row>
    <row r="147" spans="1:8" x14ac:dyDescent="0.25">
      <c r="A147" s="1">
        <v>13</v>
      </c>
      <c r="B147">
        <f t="shared" si="7"/>
        <v>8</v>
      </c>
      <c r="C147" s="1" t="s">
        <v>315</v>
      </c>
      <c r="D147" s="1" t="s">
        <v>23</v>
      </c>
      <c r="E147" s="3" t="s">
        <v>18</v>
      </c>
      <c r="F147" s="32" t="s">
        <v>1106</v>
      </c>
      <c r="G147" s="1" t="s">
        <v>269</v>
      </c>
      <c r="H147" s="6">
        <f>COUNTIF(ValidTeams[],E147)</f>
        <v>1</v>
      </c>
    </row>
    <row r="148" spans="1:8" x14ac:dyDescent="0.25">
      <c r="A148" s="1">
        <v>14</v>
      </c>
      <c r="B148">
        <f t="shared" si="7"/>
        <v>7</v>
      </c>
      <c r="C148" s="1" t="s">
        <v>98</v>
      </c>
      <c r="D148" s="1" t="s">
        <v>99</v>
      </c>
      <c r="E148" s="3" t="s">
        <v>100</v>
      </c>
      <c r="F148" s="32" t="s">
        <v>1107</v>
      </c>
      <c r="G148" s="1" t="s">
        <v>269</v>
      </c>
      <c r="H148" s="6">
        <f>COUNTIF(ValidTeams[],E148)</f>
        <v>1</v>
      </c>
    </row>
    <row r="149" spans="1:8" x14ac:dyDescent="0.25">
      <c r="A149">
        <v>15</v>
      </c>
      <c r="B149">
        <f t="shared" si="7"/>
        <v>0</v>
      </c>
      <c r="C149" t="s">
        <v>351</v>
      </c>
      <c r="D149" t="s">
        <v>1108</v>
      </c>
      <c r="E149" t="s">
        <v>1109</v>
      </c>
      <c r="F149" s="28">
        <v>3.0567129629629628E-2</v>
      </c>
      <c r="G149" t="s">
        <v>269</v>
      </c>
      <c r="H149">
        <f>COUNTIF(ValidTeams[],E149)</f>
        <v>0</v>
      </c>
    </row>
    <row r="150" spans="1:8" x14ac:dyDescent="0.25">
      <c r="A150" s="1">
        <v>16</v>
      </c>
      <c r="B150">
        <f t="shared" si="7"/>
        <v>0</v>
      </c>
      <c r="C150" s="1"/>
      <c r="D150" s="1"/>
      <c r="E150" s="3"/>
      <c r="F150" s="32"/>
      <c r="G150" s="1" t="s">
        <v>269</v>
      </c>
      <c r="H150" s="6">
        <f>COUNTIF(ValidTeams[],E150)</f>
        <v>0</v>
      </c>
    </row>
    <row r="151" spans="1:8" x14ac:dyDescent="0.25">
      <c r="A151" s="1">
        <v>17</v>
      </c>
      <c r="B151">
        <f t="shared" si="7"/>
        <v>0</v>
      </c>
      <c r="C151" s="1"/>
      <c r="D151" s="1"/>
      <c r="E151" s="3"/>
      <c r="F151" s="32"/>
      <c r="G151" s="1" t="s">
        <v>269</v>
      </c>
      <c r="H151" s="6">
        <f>COUNTIF(ValidTeams[],E151)</f>
        <v>0</v>
      </c>
    </row>
    <row r="152" spans="1:8" x14ac:dyDescent="0.25">
      <c r="A152" s="1">
        <v>18</v>
      </c>
      <c r="B152">
        <f t="shared" si="7"/>
        <v>0</v>
      </c>
      <c r="C152" s="1"/>
      <c r="D152" s="1"/>
      <c r="E152" s="3"/>
      <c r="F152" s="32"/>
      <c r="G152" s="1" t="s">
        <v>269</v>
      </c>
      <c r="H152" s="6">
        <f>COUNTIF(ValidTeams[],E152)</f>
        <v>0</v>
      </c>
    </row>
    <row r="153" spans="1:8" x14ac:dyDescent="0.25">
      <c r="A153">
        <v>19</v>
      </c>
      <c r="B153">
        <f t="shared" si="7"/>
        <v>0</v>
      </c>
      <c r="E153"/>
      <c r="F153" s="28"/>
      <c r="G153" t="s">
        <v>269</v>
      </c>
      <c r="H153">
        <f>COUNTIF(ValidTeams[],E153)</f>
        <v>0</v>
      </c>
    </row>
    <row r="154" spans="1:8" x14ac:dyDescent="0.25">
      <c r="A154">
        <v>20</v>
      </c>
      <c r="B154">
        <f t="shared" si="7"/>
        <v>0</v>
      </c>
      <c r="E154"/>
      <c r="F154" s="28"/>
      <c r="G154" t="s">
        <v>269</v>
      </c>
      <c r="H154">
        <f>COUNTIF(ValidTeams[],E154)</f>
        <v>0</v>
      </c>
    </row>
    <row r="155" spans="1:8" x14ac:dyDescent="0.25">
      <c r="A155">
        <v>21</v>
      </c>
      <c r="B155">
        <f t="shared" si="7"/>
        <v>0</v>
      </c>
      <c r="E155"/>
      <c r="F155" s="28"/>
      <c r="G155" t="s">
        <v>269</v>
      </c>
      <c r="H155">
        <f>COUNTIF(ValidTeams[],E155)</f>
        <v>0</v>
      </c>
    </row>
    <row r="156" spans="1:8" x14ac:dyDescent="0.25">
      <c r="A156">
        <v>22</v>
      </c>
      <c r="B156">
        <f t="shared" si="7"/>
        <v>0</v>
      </c>
      <c r="E156"/>
      <c r="G156" t="s">
        <v>269</v>
      </c>
      <c r="H156">
        <f>COUNTIF(ValidTeams[],E156)</f>
        <v>0</v>
      </c>
    </row>
    <row r="157" spans="1:8" x14ac:dyDescent="0.25">
      <c r="F157" s="29"/>
    </row>
    <row r="158" spans="1:8" x14ac:dyDescent="0.25">
      <c r="A158" s="4" t="s">
        <v>0</v>
      </c>
      <c r="B158" s="4" t="s">
        <v>73</v>
      </c>
      <c r="C158" s="4" t="s">
        <v>1</v>
      </c>
      <c r="D158" s="4" t="s">
        <v>2</v>
      </c>
      <c r="E158" s="5" t="s">
        <v>3</v>
      </c>
      <c r="F158" s="31" t="s">
        <v>4</v>
      </c>
      <c r="G158" s="4" t="s">
        <v>5</v>
      </c>
      <c r="H158" s="4" t="s">
        <v>72</v>
      </c>
    </row>
    <row r="159" spans="1:8" x14ac:dyDescent="0.25">
      <c r="A159" s="1">
        <v>1</v>
      </c>
      <c r="B159">
        <f t="shared" ref="B159:B168" si="8">IF(H159=1,MAX(21-A159,0),0)</f>
        <v>20</v>
      </c>
      <c r="C159" s="1" t="s">
        <v>332</v>
      </c>
      <c r="D159" s="1" t="s">
        <v>333</v>
      </c>
      <c r="E159" s="3" t="s">
        <v>38</v>
      </c>
      <c r="F159" s="32" t="s">
        <v>1110</v>
      </c>
      <c r="G159" s="1" t="s">
        <v>331</v>
      </c>
      <c r="H159" s="6">
        <f>COUNTIF(ValidTeams[],E159)</f>
        <v>1</v>
      </c>
    </row>
    <row r="160" spans="1:8" x14ac:dyDescent="0.25">
      <c r="A160" s="1">
        <v>2</v>
      </c>
      <c r="B160">
        <f t="shared" si="8"/>
        <v>19</v>
      </c>
      <c r="C160" s="1" t="s">
        <v>905</v>
      </c>
      <c r="D160" s="1" t="s">
        <v>67</v>
      </c>
      <c r="E160" s="3" t="s">
        <v>31</v>
      </c>
      <c r="F160" s="32" t="s">
        <v>1111</v>
      </c>
      <c r="G160" s="1" t="s">
        <v>331</v>
      </c>
      <c r="H160" s="6">
        <f>COUNTIF(ValidTeams[],E160)</f>
        <v>1</v>
      </c>
    </row>
    <row r="161" spans="1:8" x14ac:dyDescent="0.25">
      <c r="A161" s="1">
        <v>3</v>
      </c>
      <c r="B161">
        <f t="shared" si="8"/>
        <v>18</v>
      </c>
      <c r="C161" s="1" t="s">
        <v>6</v>
      </c>
      <c r="D161" s="1" t="s">
        <v>341</v>
      </c>
      <c r="E161" s="3" t="s">
        <v>8</v>
      </c>
      <c r="F161" s="32" t="s">
        <v>1112</v>
      </c>
      <c r="G161" s="1" t="s">
        <v>331</v>
      </c>
      <c r="H161" s="6">
        <f>COUNTIF(ValidTeams[],E161)</f>
        <v>1</v>
      </c>
    </row>
    <row r="162" spans="1:8" x14ac:dyDescent="0.25">
      <c r="A162" s="1">
        <v>4</v>
      </c>
      <c r="B162">
        <f t="shared" si="8"/>
        <v>17</v>
      </c>
      <c r="C162" s="1" t="s">
        <v>356</v>
      </c>
      <c r="D162" s="1" t="s">
        <v>357</v>
      </c>
      <c r="E162" s="3" t="s">
        <v>100</v>
      </c>
      <c r="F162" s="32" t="s">
        <v>1113</v>
      </c>
      <c r="G162" s="1" t="s">
        <v>331</v>
      </c>
      <c r="H162" s="6">
        <f>COUNTIF(ValidTeams[],E162)</f>
        <v>1</v>
      </c>
    </row>
    <row r="163" spans="1:8" x14ac:dyDescent="0.25">
      <c r="A163" s="1">
        <v>5</v>
      </c>
      <c r="B163">
        <f t="shared" si="8"/>
        <v>16</v>
      </c>
      <c r="C163" s="1" t="s">
        <v>351</v>
      </c>
      <c r="D163" s="1" t="s">
        <v>352</v>
      </c>
      <c r="E163" s="3" t="s">
        <v>38</v>
      </c>
      <c r="F163" s="32" t="s">
        <v>1114</v>
      </c>
      <c r="G163" s="1" t="s">
        <v>331</v>
      </c>
      <c r="H163" s="6">
        <f>COUNTIF(ValidTeams[],E163)</f>
        <v>1</v>
      </c>
    </row>
    <row r="164" spans="1:8" x14ac:dyDescent="0.25">
      <c r="A164" s="1">
        <v>6</v>
      </c>
      <c r="B164">
        <f t="shared" si="8"/>
        <v>0</v>
      </c>
      <c r="C164" s="1"/>
      <c r="D164" s="1"/>
      <c r="E164" s="3"/>
      <c r="F164" s="32"/>
      <c r="G164" s="1" t="s">
        <v>331</v>
      </c>
      <c r="H164" s="6">
        <f>COUNTIF(ValidTeams[],E164)</f>
        <v>0</v>
      </c>
    </row>
    <row r="165" spans="1:8" x14ac:dyDescent="0.25">
      <c r="A165" s="1">
        <v>7</v>
      </c>
      <c r="B165">
        <f t="shared" si="8"/>
        <v>0</v>
      </c>
      <c r="C165" s="1"/>
      <c r="D165" s="1"/>
      <c r="E165" s="3"/>
      <c r="F165" s="32"/>
      <c r="G165" s="1" t="s">
        <v>331</v>
      </c>
      <c r="H165" s="6">
        <f>COUNTIF(ValidTeams[],E165)</f>
        <v>0</v>
      </c>
    </row>
    <row r="166" spans="1:8" x14ac:dyDescent="0.25">
      <c r="A166" s="1">
        <v>8</v>
      </c>
      <c r="B166">
        <f t="shared" si="8"/>
        <v>0</v>
      </c>
      <c r="C166" s="1"/>
      <c r="D166" s="1"/>
      <c r="E166" s="3"/>
      <c r="F166" s="32"/>
      <c r="G166" s="1" t="s">
        <v>331</v>
      </c>
      <c r="H166" s="6">
        <f>COUNTIF(ValidTeams[],E166)</f>
        <v>0</v>
      </c>
    </row>
    <row r="167" spans="1:8" x14ac:dyDescent="0.25">
      <c r="A167" s="1">
        <v>9</v>
      </c>
      <c r="B167">
        <f t="shared" si="8"/>
        <v>0</v>
      </c>
      <c r="E167"/>
      <c r="F167" s="28"/>
      <c r="G167" s="1" t="s">
        <v>331</v>
      </c>
      <c r="H167" s="6">
        <f>COUNTIF(ValidTeams[],E167)</f>
        <v>0</v>
      </c>
    </row>
    <row r="168" spans="1:8" x14ac:dyDescent="0.25">
      <c r="A168" s="1">
        <v>10</v>
      </c>
      <c r="B168">
        <f t="shared" si="8"/>
        <v>0</v>
      </c>
      <c r="E168"/>
      <c r="F168" s="28"/>
      <c r="G168" s="1" t="s">
        <v>331</v>
      </c>
      <c r="H168" s="6">
        <f>COUNTIF(ValidTeams[],E168)</f>
        <v>0</v>
      </c>
    </row>
    <row r="169" spans="1:8" x14ac:dyDescent="0.25">
      <c r="A169" s="1">
        <v>11</v>
      </c>
      <c r="B169" s="1">
        <f>IF(H169=1,MAX(21-A169,0),0)</f>
        <v>0</v>
      </c>
      <c r="E169"/>
      <c r="F169" s="28"/>
      <c r="G169" s="1" t="s">
        <v>331</v>
      </c>
      <c r="H169" s="6">
        <f>COUNTIF(ValidTeams[],E169)</f>
        <v>0</v>
      </c>
    </row>
    <row r="170" spans="1:8" x14ac:dyDescent="0.25">
      <c r="A170" s="6"/>
      <c r="B170" s="6"/>
      <c r="C170" s="6"/>
      <c r="D170" s="6"/>
      <c r="E170" s="21"/>
      <c r="F170" s="33"/>
      <c r="G170" s="6"/>
      <c r="H170" s="34"/>
    </row>
    <row r="171" spans="1:8" x14ac:dyDescent="0.25">
      <c r="A171" s="4" t="s">
        <v>0</v>
      </c>
      <c r="B171" s="4" t="s">
        <v>73</v>
      </c>
      <c r="C171" s="4" t="s">
        <v>1</v>
      </c>
      <c r="D171" s="4" t="s">
        <v>2</v>
      </c>
      <c r="E171" s="5" t="s">
        <v>3</v>
      </c>
      <c r="F171" s="31" t="s">
        <v>4</v>
      </c>
      <c r="G171" s="4" t="s">
        <v>5</v>
      </c>
      <c r="H171" s="4" t="s">
        <v>72</v>
      </c>
    </row>
    <row r="172" spans="1:8" x14ac:dyDescent="0.25">
      <c r="A172" s="1">
        <v>1</v>
      </c>
      <c r="B172">
        <f t="shared" ref="B172:B193" si="9">IF(H172=1,MAX(21-A172,0),0)</f>
        <v>0</v>
      </c>
      <c r="C172" s="6" t="s">
        <v>1115</v>
      </c>
      <c r="D172" s="6" t="s">
        <v>174</v>
      </c>
      <c r="E172" s="21" t="s">
        <v>1116</v>
      </c>
      <c r="F172" s="33" t="s">
        <v>1117</v>
      </c>
      <c r="G172" s="1" t="s">
        <v>363</v>
      </c>
      <c r="H172" s="6">
        <f>COUNTIF(ValidTeams[],E172)</f>
        <v>0</v>
      </c>
    </row>
    <row r="173" spans="1:8" x14ac:dyDescent="0.25">
      <c r="A173" s="1">
        <v>2</v>
      </c>
      <c r="B173">
        <f t="shared" si="9"/>
        <v>19</v>
      </c>
      <c r="C173" s="6" t="s">
        <v>365</v>
      </c>
      <c r="D173" s="6" t="s">
        <v>366</v>
      </c>
      <c r="E173" s="3" t="s">
        <v>222</v>
      </c>
      <c r="F173" s="32" t="s">
        <v>1118</v>
      </c>
      <c r="G173" s="1" t="s">
        <v>363</v>
      </c>
      <c r="H173" s="6">
        <f>COUNTIF(ValidTeams[],E173)</f>
        <v>1</v>
      </c>
    </row>
    <row r="174" spans="1:8" x14ac:dyDescent="0.25">
      <c r="A174" s="1">
        <v>3</v>
      </c>
      <c r="B174">
        <f t="shared" si="9"/>
        <v>18</v>
      </c>
      <c r="C174" s="6" t="s">
        <v>943</v>
      </c>
      <c r="D174" s="6" t="s">
        <v>128</v>
      </c>
      <c r="E174" s="3" t="s">
        <v>222</v>
      </c>
      <c r="F174" s="32" t="s">
        <v>1119</v>
      </c>
      <c r="G174" s="1" t="s">
        <v>363</v>
      </c>
      <c r="H174" s="6">
        <f>COUNTIF(ValidTeams[],E174)</f>
        <v>1</v>
      </c>
    </row>
    <row r="175" spans="1:8" x14ac:dyDescent="0.25">
      <c r="A175" s="1">
        <v>4</v>
      </c>
      <c r="B175">
        <f t="shared" si="9"/>
        <v>17</v>
      </c>
      <c r="C175" s="6" t="s">
        <v>941</v>
      </c>
      <c r="D175" s="6" t="s">
        <v>942</v>
      </c>
      <c r="E175" s="3" t="s">
        <v>38</v>
      </c>
      <c r="F175" s="32" t="s">
        <v>1120</v>
      </c>
      <c r="G175" s="1" t="s">
        <v>363</v>
      </c>
      <c r="H175" s="6">
        <f>COUNTIF(ValidTeams[],E175)</f>
        <v>1</v>
      </c>
    </row>
    <row r="176" spans="1:8" x14ac:dyDescent="0.25">
      <c r="A176" s="1">
        <v>5</v>
      </c>
      <c r="B176">
        <f t="shared" si="9"/>
        <v>0</v>
      </c>
      <c r="C176" s="6" t="s">
        <v>532</v>
      </c>
      <c r="D176" s="6" t="s">
        <v>233</v>
      </c>
      <c r="E176" s="3" t="s">
        <v>568</v>
      </c>
      <c r="F176" s="32" t="s">
        <v>1121</v>
      </c>
      <c r="G176" s="1" t="s">
        <v>363</v>
      </c>
      <c r="H176" s="6">
        <f>COUNTIF(ValidTeams[],E176)</f>
        <v>0</v>
      </c>
    </row>
    <row r="177" spans="1:8" x14ac:dyDescent="0.25">
      <c r="A177" s="1">
        <v>6</v>
      </c>
      <c r="B177">
        <f t="shared" si="9"/>
        <v>0</v>
      </c>
      <c r="C177" s="6" t="s">
        <v>1122</v>
      </c>
      <c r="D177" s="6" t="s">
        <v>11</v>
      </c>
      <c r="E177" s="3"/>
      <c r="F177" s="32" t="s">
        <v>1123</v>
      </c>
      <c r="G177" s="1" t="s">
        <v>363</v>
      </c>
      <c r="H177" s="6">
        <f>COUNTIF(ValidTeams[],E177)</f>
        <v>0</v>
      </c>
    </row>
    <row r="178" spans="1:8" x14ac:dyDescent="0.25">
      <c r="A178" s="1">
        <v>7</v>
      </c>
      <c r="B178">
        <f t="shared" si="9"/>
        <v>0</v>
      </c>
      <c r="C178" s="6" t="s">
        <v>1124</v>
      </c>
      <c r="D178" s="6" t="s">
        <v>321</v>
      </c>
      <c r="E178" s="3" t="s">
        <v>1041</v>
      </c>
      <c r="F178" s="32" t="s">
        <v>1074</v>
      </c>
      <c r="G178" s="1" t="s">
        <v>363</v>
      </c>
      <c r="H178" s="6">
        <f>COUNTIF(ValidTeams[],E178)</f>
        <v>0</v>
      </c>
    </row>
    <row r="179" spans="1:8" x14ac:dyDescent="0.25">
      <c r="A179" s="1">
        <v>8</v>
      </c>
      <c r="B179">
        <f t="shared" si="9"/>
        <v>0</v>
      </c>
      <c r="C179" s="6" t="s">
        <v>550</v>
      </c>
      <c r="D179" s="6" t="s">
        <v>1125</v>
      </c>
      <c r="E179" s="3" t="s">
        <v>1126</v>
      </c>
      <c r="F179" s="32" t="s">
        <v>1127</v>
      </c>
      <c r="G179" s="1" t="s">
        <v>363</v>
      </c>
      <c r="H179" s="6">
        <f>COUNTIF(ValidTeams[],E179)</f>
        <v>0</v>
      </c>
    </row>
    <row r="180" spans="1:8" x14ac:dyDescent="0.25">
      <c r="A180">
        <v>9</v>
      </c>
      <c r="B180">
        <f t="shared" si="9"/>
        <v>0</v>
      </c>
      <c r="C180" s="6" t="s">
        <v>1128</v>
      </c>
      <c r="D180" s="6" t="s">
        <v>1129</v>
      </c>
      <c r="E180" s="3"/>
      <c r="F180" s="32" t="s">
        <v>1067</v>
      </c>
      <c r="G180" t="s">
        <v>363</v>
      </c>
      <c r="H180" s="6">
        <f>COUNTIF(ValidTeams[],E180)</f>
        <v>0</v>
      </c>
    </row>
    <row r="181" spans="1:8" x14ac:dyDescent="0.25">
      <c r="A181">
        <v>10</v>
      </c>
      <c r="B181">
        <f t="shared" si="9"/>
        <v>11</v>
      </c>
      <c r="C181" s="6" t="s">
        <v>370</v>
      </c>
      <c r="D181" s="6" t="s">
        <v>281</v>
      </c>
      <c r="E181" s="3" t="s">
        <v>267</v>
      </c>
      <c r="F181" s="32" t="s">
        <v>1130</v>
      </c>
      <c r="G181" t="s">
        <v>363</v>
      </c>
      <c r="H181" s="6">
        <f>COUNTIF(ValidTeams[],E181)</f>
        <v>1</v>
      </c>
    </row>
    <row r="182" spans="1:8" x14ac:dyDescent="0.25">
      <c r="A182">
        <v>11</v>
      </c>
      <c r="B182">
        <f t="shared" si="9"/>
        <v>0</v>
      </c>
      <c r="C182" s="6" t="s">
        <v>385</v>
      </c>
      <c r="D182" s="6" t="s">
        <v>386</v>
      </c>
      <c r="E182" s="3"/>
      <c r="F182" s="32" t="s">
        <v>1131</v>
      </c>
      <c r="G182" t="s">
        <v>363</v>
      </c>
      <c r="H182" s="6">
        <f>COUNTIF(ValidTeams[],E182)</f>
        <v>0</v>
      </c>
    </row>
    <row r="183" spans="1:8" x14ac:dyDescent="0.25">
      <c r="A183">
        <v>12</v>
      </c>
      <c r="B183">
        <f t="shared" si="9"/>
        <v>9</v>
      </c>
      <c r="C183" t="s">
        <v>372</v>
      </c>
      <c r="D183" t="s">
        <v>278</v>
      </c>
      <c r="E183" s="27" t="s">
        <v>267</v>
      </c>
      <c r="F183" s="28">
        <v>2.1041666666666667E-2</v>
      </c>
      <c r="G183" t="s">
        <v>363</v>
      </c>
      <c r="H183" s="6">
        <f>COUNTIF(ValidTeams[],E183)</f>
        <v>1</v>
      </c>
    </row>
    <row r="184" spans="1:8" x14ac:dyDescent="0.25">
      <c r="A184">
        <v>13</v>
      </c>
      <c r="B184">
        <f t="shared" si="9"/>
        <v>0</v>
      </c>
      <c r="E184"/>
      <c r="F184" s="28"/>
      <c r="G184" t="s">
        <v>363</v>
      </c>
      <c r="H184" s="6">
        <f>COUNTIF(ValidTeams[],E184)</f>
        <v>0</v>
      </c>
    </row>
    <row r="185" spans="1:8" x14ac:dyDescent="0.25">
      <c r="A185">
        <v>14</v>
      </c>
      <c r="B185">
        <f t="shared" si="9"/>
        <v>0</v>
      </c>
      <c r="E185"/>
      <c r="F185" s="28"/>
      <c r="G185" t="s">
        <v>363</v>
      </c>
      <c r="H185" s="6">
        <f>COUNTIF(ValidTeams[],E185)</f>
        <v>0</v>
      </c>
    </row>
    <row r="186" spans="1:8" x14ac:dyDescent="0.25">
      <c r="A186" s="1">
        <v>15</v>
      </c>
      <c r="B186" s="1">
        <f t="shared" si="9"/>
        <v>0</v>
      </c>
      <c r="C186" s="1"/>
      <c r="D186" s="1"/>
      <c r="E186" s="3"/>
      <c r="F186" s="32"/>
      <c r="G186" s="1" t="s">
        <v>363</v>
      </c>
      <c r="H186" s="24">
        <f>COUNTIF(ValidTeams[],E186)</f>
        <v>0</v>
      </c>
    </row>
    <row r="187" spans="1:8" x14ac:dyDescent="0.25">
      <c r="A187" s="1">
        <v>16</v>
      </c>
      <c r="B187" s="1">
        <f t="shared" si="9"/>
        <v>0</v>
      </c>
      <c r="C187" s="1"/>
      <c r="D187" s="1"/>
      <c r="E187" s="3"/>
      <c r="F187" s="32"/>
      <c r="G187" s="1" t="s">
        <v>363</v>
      </c>
      <c r="H187" s="24">
        <f>COUNTIF(ValidTeams[],E187)</f>
        <v>0</v>
      </c>
    </row>
    <row r="188" spans="1:8" x14ac:dyDescent="0.25">
      <c r="A188" s="1">
        <v>17</v>
      </c>
      <c r="B188" s="1">
        <f t="shared" si="9"/>
        <v>0</v>
      </c>
      <c r="C188" s="1"/>
      <c r="D188" s="1"/>
      <c r="E188" s="3"/>
      <c r="F188" s="32"/>
      <c r="G188" s="1" t="s">
        <v>363</v>
      </c>
      <c r="H188" s="24">
        <f>COUNTIF(ValidTeams[],E188)</f>
        <v>0</v>
      </c>
    </row>
    <row r="189" spans="1:8" x14ac:dyDescent="0.25">
      <c r="A189" s="1">
        <v>18</v>
      </c>
      <c r="B189" s="1">
        <f t="shared" si="9"/>
        <v>0</v>
      </c>
      <c r="C189" s="1"/>
      <c r="D189" s="1"/>
      <c r="E189" s="3"/>
      <c r="F189" s="32"/>
      <c r="G189" s="1" t="s">
        <v>363</v>
      </c>
      <c r="H189" s="24">
        <f>COUNTIF(ValidTeams[],E189)</f>
        <v>0</v>
      </c>
    </row>
    <row r="190" spans="1:8" x14ac:dyDescent="0.25">
      <c r="A190" s="1">
        <v>19</v>
      </c>
      <c r="B190" s="1">
        <f t="shared" si="9"/>
        <v>0</v>
      </c>
      <c r="C190" s="1"/>
      <c r="D190" s="1"/>
      <c r="E190"/>
      <c r="F190" s="32"/>
      <c r="G190" s="1" t="s">
        <v>363</v>
      </c>
      <c r="H190" s="24">
        <f>COUNTIF(ValidTeams[],E190)</f>
        <v>0</v>
      </c>
    </row>
    <row r="191" spans="1:8" x14ac:dyDescent="0.25">
      <c r="A191" s="1">
        <v>20</v>
      </c>
      <c r="B191" s="1">
        <f t="shared" si="9"/>
        <v>0</v>
      </c>
      <c r="C191" s="1"/>
      <c r="D191" s="1"/>
      <c r="E191" s="3"/>
      <c r="F191" s="32"/>
      <c r="G191" s="1" t="s">
        <v>363</v>
      </c>
      <c r="H191" s="24">
        <f>COUNTIF(ValidTeams[],E191)</f>
        <v>0</v>
      </c>
    </row>
    <row r="192" spans="1:8" x14ac:dyDescent="0.25">
      <c r="A192" s="1">
        <v>21</v>
      </c>
      <c r="B192" s="1">
        <f t="shared" si="9"/>
        <v>0</v>
      </c>
      <c r="C192" s="1"/>
      <c r="D192" s="1"/>
      <c r="E192" s="3"/>
      <c r="F192" s="32"/>
      <c r="G192" s="1" t="s">
        <v>363</v>
      </c>
      <c r="H192" s="24">
        <f>COUNTIF(ValidTeams[],E192)</f>
        <v>0</v>
      </c>
    </row>
    <row r="193" spans="1:8" x14ac:dyDescent="0.25">
      <c r="A193" s="1">
        <v>22</v>
      </c>
      <c r="B193" s="1">
        <f t="shared" si="9"/>
        <v>0</v>
      </c>
      <c r="C193" s="1"/>
      <c r="D193" s="1"/>
      <c r="E193" s="3"/>
      <c r="F193" s="32"/>
      <c r="G193" s="1" t="s">
        <v>363</v>
      </c>
      <c r="H193" s="24">
        <f>COUNTIF(ValidTeams[],E193)</f>
        <v>0</v>
      </c>
    </row>
    <row r="194" spans="1:8" x14ac:dyDescent="0.25">
      <c r="A194" s="6"/>
      <c r="B194" s="6"/>
      <c r="C194" s="6"/>
      <c r="D194" s="6"/>
      <c r="E194" s="21"/>
      <c r="F194" s="33"/>
      <c r="G194" s="6"/>
      <c r="H194" s="34"/>
    </row>
    <row r="195" spans="1:8" x14ac:dyDescent="0.25">
      <c r="A195" s="4" t="s">
        <v>0</v>
      </c>
      <c r="B195" s="4" t="s">
        <v>73</v>
      </c>
      <c r="C195" s="4" t="s">
        <v>1</v>
      </c>
      <c r="D195" s="4" t="s">
        <v>2</v>
      </c>
      <c r="E195" s="5" t="s">
        <v>3</v>
      </c>
      <c r="F195" s="31" t="s">
        <v>4</v>
      </c>
      <c r="G195" s="4" t="s">
        <v>5</v>
      </c>
      <c r="H195" s="4" t="s">
        <v>72</v>
      </c>
    </row>
    <row r="196" spans="1:8" x14ac:dyDescent="0.25">
      <c r="A196" s="1">
        <v>1</v>
      </c>
      <c r="B196">
        <f t="shared" ref="B196:B198" si="10">IF(H196=1,MAX(21-A196,0),0)</f>
        <v>20</v>
      </c>
      <c r="C196" s="1" t="s">
        <v>902</v>
      </c>
      <c r="D196" s="1" t="s">
        <v>903</v>
      </c>
      <c r="E196" s="3" t="s">
        <v>222</v>
      </c>
      <c r="F196" s="32" t="s">
        <v>1110</v>
      </c>
      <c r="G196" s="1" t="s">
        <v>399</v>
      </c>
      <c r="H196" s="6">
        <f>COUNTIF(ValidTeams[],E196)</f>
        <v>1</v>
      </c>
    </row>
    <row r="197" spans="1:8" x14ac:dyDescent="0.25">
      <c r="A197" s="1">
        <v>2</v>
      </c>
      <c r="B197">
        <f t="shared" si="10"/>
        <v>19</v>
      </c>
      <c r="C197" s="1" t="s">
        <v>400</v>
      </c>
      <c r="D197" s="1" t="s">
        <v>401</v>
      </c>
      <c r="E197" s="3" t="s">
        <v>290</v>
      </c>
      <c r="F197" s="32" t="s">
        <v>1132</v>
      </c>
      <c r="G197" s="1" t="s">
        <v>399</v>
      </c>
      <c r="H197" s="6">
        <f>COUNTIF(ValidTeams[],E197)</f>
        <v>1</v>
      </c>
    </row>
    <row r="198" spans="1:8" x14ac:dyDescent="0.25">
      <c r="A198" s="1">
        <v>3</v>
      </c>
      <c r="B198">
        <f t="shared" si="10"/>
        <v>18</v>
      </c>
      <c r="C198" s="1" t="s">
        <v>396</v>
      </c>
      <c r="D198" s="1" t="s">
        <v>397</v>
      </c>
      <c r="E198" s="3" t="s">
        <v>88</v>
      </c>
      <c r="F198" s="32" t="s">
        <v>1133</v>
      </c>
      <c r="G198" s="1" t="s">
        <v>399</v>
      </c>
      <c r="H198" s="6">
        <f>COUNTIF(ValidTeams[],E198)</f>
        <v>1</v>
      </c>
    </row>
    <row r="199" spans="1:8" x14ac:dyDescent="0.25">
      <c r="A199" s="1">
        <v>4</v>
      </c>
      <c r="B199" s="1">
        <f>IF(H199=1,MAX(21-A199,0),0)</f>
        <v>17</v>
      </c>
      <c r="C199" s="1" t="s">
        <v>354</v>
      </c>
      <c r="D199" s="1" t="s">
        <v>81</v>
      </c>
      <c r="E199" s="3" t="s">
        <v>91</v>
      </c>
      <c r="F199" s="32" t="s">
        <v>1134</v>
      </c>
      <c r="G199" s="1" t="s">
        <v>399</v>
      </c>
      <c r="H199" s="24">
        <f>COUNTIF(ValidTeams[],E199)</f>
        <v>1</v>
      </c>
    </row>
    <row r="200" spans="1:8" x14ac:dyDescent="0.25">
      <c r="A200" s="1">
        <v>5</v>
      </c>
      <c r="B200" s="1">
        <f>IF(H200=1,MAX(21-A200,0),0)</f>
        <v>0</v>
      </c>
      <c r="C200" s="1"/>
      <c r="D200" s="1"/>
      <c r="E200" s="3"/>
      <c r="F200" s="32"/>
      <c r="G200" s="1" t="s">
        <v>399</v>
      </c>
      <c r="H200" s="24">
        <f>COUNTIF(ValidTeams[],E200)</f>
        <v>0</v>
      </c>
    </row>
    <row r="201" spans="1:8" x14ac:dyDescent="0.25">
      <c r="A201" s="6"/>
      <c r="B201" s="6"/>
      <c r="C201" s="6"/>
      <c r="D201" s="6"/>
      <c r="E201" s="21"/>
      <c r="F201" s="33"/>
      <c r="G201" s="6"/>
      <c r="H201" s="34"/>
    </row>
    <row r="202" spans="1:8" x14ac:dyDescent="0.25">
      <c r="A202" s="4" t="s">
        <v>0</v>
      </c>
      <c r="B202" s="4" t="s">
        <v>73</v>
      </c>
      <c r="C202" s="4" t="s">
        <v>1</v>
      </c>
      <c r="D202" s="4" t="s">
        <v>2</v>
      </c>
      <c r="E202" s="5" t="s">
        <v>3</v>
      </c>
      <c r="F202" s="31" t="s">
        <v>4</v>
      </c>
      <c r="G202" s="4" t="s">
        <v>5</v>
      </c>
      <c r="H202" s="4" t="s">
        <v>72</v>
      </c>
    </row>
    <row r="203" spans="1:8" x14ac:dyDescent="0.25">
      <c r="A203" s="1">
        <v>1</v>
      </c>
      <c r="B203">
        <f t="shared" ref="B203:B209" si="11">IF(H203=1,MAX(21-A203,0),0)</f>
        <v>20</v>
      </c>
      <c r="C203" s="1" t="s">
        <v>1135</v>
      </c>
      <c r="D203" s="1" t="s">
        <v>983</v>
      </c>
      <c r="E203" s="3" t="s">
        <v>313</v>
      </c>
      <c r="F203" s="32" t="s">
        <v>1136</v>
      </c>
      <c r="G203" s="1" t="s">
        <v>405</v>
      </c>
      <c r="H203" s="6">
        <f>COUNTIF(ValidTeams[],E203)</f>
        <v>1</v>
      </c>
    </row>
    <row r="204" spans="1:8" x14ac:dyDescent="0.25">
      <c r="A204" s="1">
        <v>2</v>
      </c>
      <c r="B204">
        <f t="shared" si="11"/>
        <v>0</v>
      </c>
      <c r="C204" s="1" t="s">
        <v>1137</v>
      </c>
      <c r="D204" s="1" t="s">
        <v>174</v>
      </c>
      <c r="E204" s="3" t="s">
        <v>1138</v>
      </c>
      <c r="F204" s="32" t="s">
        <v>1139</v>
      </c>
      <c r="G204" s="1" t="s">
        <v>405</v>
      </c>
      <c r="H204" s="6">
        <f>COUNTIF(ValidTeams[],E204)</f>
        <v>0</v>
      </c>
    </row>
    <row r="205" spans="1:8" x14ac:dyDescent="0.25">
      <c r="A205" s="1">
        <v>3</v>
      </c>
      <c r="B205">
        <f t="shared" si="11"/>
        <v>18</v>
      </c>
      <c r="C205" s="1" t="s">
        <v>1140</v>
      </c>
      <c r="D205" s="1" t="s">
        <v>1141</v>
      </c>
      <c r="E205" s="3" t="s">
        <v>433</v>
      </c>
      <c r="F205" s="32" t="s">
        <v>1142</v>
      </c>
      <c r="G205" s="1" t="s">
        <v>405</v>
      </c>
      <c r="H205" s="6">
        <f>COUNTIF(ValidTeams[],E205)</f>
        <v>1</v>
      </c>
    </row>
    <row r="206" spans="1:8" x14ac:dyDescent="0.25">
      <c r="A206" s="1">
        <v>4</v>
      </c>
      <c r="B206">
        <f t="shared" si="11"/>
        <v>0</v>
      </c>
      <c r="C206" s="1" t="s">
        <v>1143</v>
      </c>
      <c r="D206" s="1" t="s">
        <v>30</v>
      </c>
      <c r="E206" s="3" t="s">
        <v>241</v>
      </c>
      <c r="F206" s="32" t="s">
        <v>1144</v>
      </c>
      <c r="G206" s="1" t="s">
        <v>405</v>
      </c>
      <c r="H206" s="6">
        <f>COUNTIF(ValidTeams[],E206)</f>
        <v>0</v>
      </c>
    </row>
    <row r="207" spans="1:8" x14ac:dyDescent="0.25">
      <c r="A207" s="1">
        <v>5</v>
      </c>
      <c r="B207">
        <f t="shared" si="11"/>
        <v>0</v>
      </c>
      <c r="C207" s="1" t="s">
        <v>1145</v>
      </c>
      <c r="D207" s="1" t="s">
        <v>646</v>
      </c>
      <c r="E207" s="3" t="s">
        <v>1146</v>
      </c>
      <c r="F207" s="32" t="s">
        <v>1147</v>
      </c>
      <c r="G207" s="1" t="s">
        <v>405</v>
      </c>
      <c r="H207" s="6">
        <f>COUNTIF(ValidTeams[],E207)</f>
        <v>0</v>
      </c>
    </row>
    <row r="208" spans="1:8" x14ac:dyDescent="0.25">
      <c r="A208" s="1">
        <v>6</v>
      </c>
      <c r="B208">
        <f t="shared" si="11"/>
        <v>15</v>
      </c>
      <c r="C208" s="1" t="s">
        <v>351</v>
      </c>
      <c r="D208" s="1" t="s">
        <v>996</v>
      </c>
      <c r="E208" s="3" t="s">
        <v>506</v>
      </c>
      <c r="F208" s="32" t="s">
        <v>1148</v>
      </c>
      <c r="G208" s="1" t="s">
        <v>405</v>
      </c>
      <c r="H208" s="6">
        <f>COUNTIF(ValidTeams[],E208)</f>
        <v>1</v>
      </c>
    </row>
    <row r="209" spans="1:8" x14ac:dyDescent="0.25">
      <c r="A209" s="1">
        <v>7</v>
      </c>
      <c r="B209">
        <f t="shared" si="11"/>
        <v>14</v>
      </c>
      <c r="C209" s="1" t="s">
        <v>411</v>
      </c>
      <c r="D209" s="1" t="s">
        <v>412</v>
      </c>
      <c r="E209" s="3" t="s">
        <v>808</v>
      </c>
      <c r="F209" s="32" t="s">
        <v>1149</v>
      </c>
      <c r="G209" s="1" t="s">
        <v>405</v>
      </c>
      <c r="H209" s="6">
        <f>COUNTIF(ValidTeams[],E209)</f>
        <v>1</v>
      </c>
    </row>
    <row r="210" spans="1:8" x14ac:dyDescent="0.25">
      <c r="A210" s="1">
        <v>8</v>
      </c>
      <c r="B210" s="1">
        <f t="shared" ref="B210:B215" si="12">IF(H210=1,MAX(21-A210,0),0)</f>
        <v>13</v>
      </c>
      <c r="C210" s="1" t="s">
        <v>409</v>
      </c>
      <c r="D210" s="1" t="s">
        <v>225</v>
      </c>
      <c r="E210" s="3" t="s">
        <v>88</v>
      </c>
      <c r="F210" s="32" t="s">
        <v>1150</v>
      </c>
      <c r="G210" s="1" t="s">
        <v>405</v>
      </c>
      <c r="H210" s="24">
        <f>COUNTIF(ValidTeams[],E210)</f>
        <v>1</v>
      </c>
    </row>
    <row r="211" spans="1:8" x14ac:dyDescent="0.25">
      <c r="A211" s="1">
        <v>9</v>
      </c>
      <c r="B211" s="1">
        <f t="shared" si="12"/>
        <v>0</v>
      </c>
      <c r="C211" s="1" t="s">
        <v>989</v>
      </c>
      <c r="D211" s="1" t="s">
        <v>990</v>
      </c>
      <c r="E211" s="3" t="s">
        <v>797</v>
      </c>
      <c r="F211" s="32" t="s">
        <v>1151</v>
      </c>
      <c r="G211" s="1" t="s">
        <v>405</v>
      </c>
      <c r="H211" s="24">
        <f>COUNTIF(ValidTeams[],E211)</f>
        <v>0</v>
      </c>
    </row>
    <row r="212" spans="1:8" x14ac:dyDescent="0.25">
      <c r="A212" s="1">
        <v>10</v>
      </c>
      <c r="B212" s="1">
        <f t="shared" si="12"/>
        <v>0</v>
      </c>
      <c r="C212" s="1" t="s">
        <v>1152</v>
      </c>
      <c r="D212" s="1" t="s">
        <v>1153</v>
      </c>
      <c r="E212" s="3" t="s">
        <v>1154</v>
      </c>
      <c r="F212" s="32" t="s">
        <v>1155</v>
      </c>
      <c r="G212" s="1" t="s">
        <v>405</v>
      </c>
      <c r="H212" s="24">
        <f>COUNTIF(ValidTeams[],E212)</f>
        <v>0</v>
      </c>
    </row>
    <row r="213" spans="1:8" x14ac:dyDescent="0.25">
      <c r="A213" s="1">
        <v>11</v>
      </c>
      <c r="B213" s="1">
        <f t="shared" si="12"/>
        <v>10</v>
      </c>
      <c r="C213" s="1" t="s">
        <v>902</v>
      </c>
      <c r="D213" s="1" t="s">
        <v>979</v>
      </c>
      <c r="E213" s="3" t="s">
        <v>222</v>
      </c>
      <c r="F213" s="32" t="s">
        <v>1156</v>
      </c>
      <c r="G213" s="1" t="s">
        <v>405</v>
      </c>
      <c r="H213" s="24">
        <f>COUNTIF(ValidTeams[],E213)</f>
        <v>1</v>
      </c>
    </row>
    <row r="214" spans="1:8" x14ac:dyDescent="0.25">
      <c r="A214" s="1">
        <v>12</v>
      </c>
      <c r="B214" s="1">
        <f t="shared" si="12"/>
        <v>0</v>
      </c>
      <c r="C214" s="1" t="s">
        <v>1157</v>
      </c>
      <c r="D214" s="1" t="s">
        <v>1158</v>
      </c>
      <c r="E214" s="3" t="s">
        <v>1159</v>
      </c>
      <c r="F214" s="32" t="s">
        <v>1160</v>
      </c>
      <c r="G214" s="1" t="s">
        <v>405</v>
      </c>
      <c r="H214" s="24">
        <f>COUNTIF(ValidTeams[],E214)</f>
        <v>0</v>
      </c>
    </row>
    <row r="215" spans="1:8" x14ac:dyDescent="0.25">
      <c r="A215" s="1">
        <v>13</v>
      </c>
      <c r="B215" s="1">
        <f t="shared" si="12"/>
        <v>8</v>
      </c>
      <c r="C215" s="1" t="s">
        <v>415</v>
      </c>
      <c r="D215" s="1" t="s">
        <v>23</v>
      </c>
      <c r="E215" s="3" t="s">
        <v>38</v>
      </c>
      <c r="F215" s="32" t="s">
        <v>1075</v>
      </c>
      <c r="G215" s="1" t="s">
        <v>405</v>
      </c>
      <c r="H215" s="24">
        <f>COUNTIF(ValidTeams[],E215)</f>
        <v>1</v>
      </c>
    </row>
    <row r="216" spans="1:8" x14ac:dyDescent="0.25">
      <c r="A216" s="6"/>
      <c r="B216" s="6"/>
      <c r="C216" s="6"/>
      <c r="D216" s="6"/>
      <c r="E216" s="21"/>
      <c r="F216" s="33"/>
      <c r="G216" s="6"/>
      <c r="H216" s="34"/>
    </row>
    <row r="217" spans="1:8" x14ac:dyDescent="0.25">
      <c r="A217" s="4" t="s">
        <v>0</v>
      </c>
      <c r="B217" s="4" t="s">
        <v>73</v>
      </c>
      <c r="C217" s="4" t="s">
        <v>1</v>
      </c>
      <c r="D217" s="4" t="s">
        <v>2</v>
      </c>
      <c r="E217" s="5" t="s">
        <v>3</v>
      </c>
      <c r="F217" s="31" t="s">
        <v>4</v>
      </c>
      <c r="G217" s="4" t="s">
        <v>5</v>
      </c>
      <c r="H217" s="4" t="s">
        <v>72</v>
      </c>
    </row>
    <row r="218" spans="1:8" x14ac:dyDescent="0.25">
      <c r="A218" s="1">
        <v>1</v>
      </c>
      <c r="B218">
        <f t="shared" ref="B218:B220" si="13">IF(H218=1,MAX(21-A218,0),0)</f>
        <v>20</v>
      </c>
      <c r="C218" s="1" t="s">
        <v>1161</v>
      </c>
      <c r="D218" s="1" t="s">
        <v>1162</v>
      </c>
      <c r="E218" s="21" t="s">
        <v>407</v>
      </c>
      <c r="F218" s="32" t="s">
        <v>1163</v>
      </c>
      <c r="G218" s="1" t="s">
        <v>426</v>
      </c>
      <c r="H218" s="6">
        <f>COUNTIF(ValidTeams[],E218)</f>
        <v>1</v>
      </c>
    </row>
    <row r="219" spans="1:8" x14ac:dyDescent="0.25">
      <c r="A219" s="1">
        <v>2</v>
      </c>
      <c r="B219">
        <f t="shared" si="13"/>
        <v>19</v>
      </c>
      <c r="C219" s="1" t="s">
        <v>427</v>
      </c>
      <c r="D219" s="1" t="s">
        <v>428</v>
      </c>
      <c r="E219" s="3" t="s">
        <v>191</v>
      </c>
      <c r="F219" s="32" t="s">
        <v>1164</v>
      </c>
      <c r="G219" s="1" t="s">
        <v>426</v>
      </c>
      <c r="H219" s="6">
        <f>COUNTIF(ValidTeams[],E219)</f>
        <v>1</v>
      </c>
    </row>
    <row r="220" spans="1:8" x14ac:dyDescent="0.25">
      <c r="A220" s="1">
        <v>3</v>
      </c>
      <c r="B220">
        <f t="shared" si="13"/>
        <v>18</v>
      </c>
      <c r="C220" s="1" t="s">
        <v>430</v>
      </c>
      <c r="D220" s="1" t="s">
        <v>431</v>
      </c>
      <c r="E220" s="3" t="s">
        <v>100</v>
      </c>
      <c r="F220" s="32" t="s">
        <v>1165</v>
      </c>
      <c r="G220" s="1" t="s">
        <v>426</v>
      </c>
      <c r="H220" s="6">
        <f>COUNTIF(ValidTeams[],E220)</f>
        <v>1</v>
      </c>
    </row>
    <row r="221" spans="1:8" x14ac:dyDescent="0.25">
      <c r="A221" s="1">
        <v>4</v>
      </c>
      <c r="B221" s="1">
        <f>IF(H221=1,MAX(21-A221,0),0)</f>
        <v>0</v>
      </c>
      <c r="C221" s="1"/>
      <c r="D221" s="1"/>
      <c r="E221" s="3"/>
      <c r="F221" s="32"/>
      <c r="G221" s="1" t="s">
        <v>426</v>
      </c>
      <c r="H221" s="24">
        <f>COUNTIF(ValidTeams[],E221)</f>
        <v>0</v>
      </c>
    </row>
    <row r="222" spans="1:8" x14ac:dyDescent="0.25">
      <c r="A222" s="1">
        <v>5</v>
      </c>
      <c r="B222" s="1">
        <f>IF(H222=1,MAX(21-A222,0),0)</f>
        <v>0</v>
      </c>
      <c r="C222" s="1"/>
      <c r="D222" s="1"/>
      <c r="E222" s="3"/>
      <c r="F222" s="32"/>
      <c r="G222" s="1" t="s">
        <v>426</v>
      </c>
      <c r="H222" s="24">
        <f>COUNTIF(ValidTeams[],E222)</f>
        <v>0</v>
      </c>
    </row>
    <row r="223" spans="1:8" x14ac:dyDescent="0.25">
      <c r="A223" s="1">
        <v>6</v>
      </c>
      <c r="B223" s="1">
        <f>IF(H223=1,MAX(21-A223,0),0)</f>
        <v>0</v>
      </c>
      <c r="C223" s="1"/>
      <c r="D223" s="1"/>
      <c r="E223" s="3"/>
      <c r="F223" s="32"/>
      <c r="G223" s="1" t="s">
        <v>426</v>
      </c>
      <c r="H223" s="24">
        <f>COUNTIF(ValidTeams[],E223)</f>
        <v>0</v>
      </c>
    </row>
    <row r="224" spans="1:8" x14ac:dyDescent="0.25">
      <c r="A224" s="1">
        <v>7</v>
      </c>
      <c r="B224" s="1">
        <f>IF(H224=1,MAX(21-A224,0),0)</f>
        <v>0</v>
      </c>
      <c r="C224" s="1"/>
      <c r="D224" s="1"/>
      <c r="E224" s="3"/>
      <c r="F224" s="32"/>
      <c r="G224" s="1" t="s">
        <v>426</v>
      </c>
      <c r="H224" s="24">
        <f>COUNTIF(ValidTeams[],E224)</f>
        <v>0</v>
      </c>
    </row>
    <row r="225" spans="1:8" x14ac:dyDescent="0.25">
      <c r="A225" s="1">
        <v>8</v>
      </c>
      <c r="B225" s="1">
        <f>IF(H225=1,MAX(21-A225,0),0)</f>
        <v>0</v>
      </c>
      <c r="C225" s="1"/>
      <c r="D225" s="1"/>
      <c r="E225" s="3"/>
      <c r="F225" s="32"/>
      <c r="G225" s="1" t="s">
        <v>426</v>
      </c>
      <c r="H225" s="24">
        <f>COUNTIF(ValidTeams[],E225)</f>
        <v>0</v>
      </c>
    </row>
    <row r="226" spans="1:8" x14ac:dyDescent="0.25">
      <c r="F226" s="29"/>
    </row>
    <row r="227" spans="1:8" x14ac:dyDescent="0.25">
      <c r="F227" s="29"/>
    </row>
    <row r="228" spans="1:8" x14ac:dyDescent="0.25">
      <c r="F228" s="29"/>
    </row>
    <row r="229" spans="1:8" x14ac:dyDescent="0.25">
      <c r="F229" s="29"/>
    </row>
    <row r="230" spans="1:8" x14ac:dyDescent="0.25">
      <c r="F230" s="29"/>
    </row>
    <row r="231" spans="1:8" x14ac:dyDescent="0.25">
      <c r="F231" s="29"/>
    </row>
    <row r="232" spans="1:8" x14ac:dyDescent="0.25">
      <c r="F232" s="29"/>
    </row>
    <row r="233" spans="1:8" x14ac:dyDescent="0.25">
      <c r="F233" s="29"/>
    </row>
    <row r="234" spans="1:8" x14ac:dyDescent="0.25">
      <c r="F234" s="29"/>
    </row>
    <row r="235" spans="1:8" x14ac:dyDescent="0.25">
      <c r="F235" s="29"/>
    </row>
    <row r="236" spans="1:8" x14ac:dyDescent="0.25">
      <c r="F236" s="29"/>
    </row>
    <row r="237" spans="1:8" x14ac:dyDescent="0.25">
      <c r="F237" s="29"/>
    </row>
    <row r="238" spans="1:8" x14ac:dyDescent="0.25">
      <c r="F238" s="29"/>
    </row>
    <row r="239" spans="1:8" x14ac:dyDescent="0.25">
      <c r="F239" s="29"/>
    </row>
    <row r="240" spans="1:8" x14ac:dyDescent="0.25">
      <c r="F240" s="29"/>
    </row>
    <row r="241" spans="6:6" x14ac:dyDescent="0.25">
      <c r="F241" s="29"/>
    </row>
    <row r="242" spans="6:6" x14ac:dyDescent="0.25">
      <c r="F242" s="29"/>
    </row>
    <row r="243" spans="6:6" x14ac:dyDescent="0.25">
      <c r="F243" s="29"/>
    </row>
    <row r="244" spans="6:6" x14ac:dyDescent="0.25">
      <c r="F244" s="29"/>
    </row>
    <row r="245" spans="6:6" x14ac:dyDescent="0.25">
      <c r="F245" s="29"/>
    </row>
    <row r="246" spans="6:6" x14ac:dyDescent="0.25">
      <c r="F246" s="29"/>
    </row>
    <row r="247" spans="6:6" x14ac:dyDescent="0.25">
      <c r="F247" s="29"/>
    </row>
    <row r="248" spans="6:6" x14ac:dyDescent="0.25">
      <c r="F248" s="29"/>
    </row>
    <row r="249" spans="6:6" x14ac:dyDescent="0.25">
      <c r="F249" s="29"/>
    </row>
    <row r="250" spans="6:6" x14ac:dyDescent="0.25">
      <c r="F250" s="29"/>
    </row>
    <row r="251" spans="6:6" x14ac:dyDescent="0.25">
      <c r="F251" s="29"/>
    </row>
    <row r="252" spans="6:6" x14ac:dyDescent="0.25">
      <c r="F252" s="29"/>
    </row>
    <row r="253" spans="6:6" x14ac:dyDescent="0.25">
      <c r="F253" s="29"/>
    </row>
    <row r="254" spans="6:6" x14ac:dyDescent="0.25">
      <c r="F254" s="29"/>
    </row>
    <row r="255" spans="6:6" x14ac:dyDescent="0.25">
      <c r="F255" s="29"/>
    </row>
    <row r="256" spans="6:6" x14ac:dyDescent="0.25">
      <c r="F256" s="29"/>
    </row>
    <row r="257" spans="6:6" x14ac:dyDescent="0.25">
      <c r="F257" s="29"/>
    </row>
    <row r="258" spans="6:6" x14ac:dyDescent="0.25">
      <c r="F258" s="29"/>
    </row>
    <row r="259" spans="6:6" x14ac:dyDescent="0.25">
      <c r="F259" s="29"/>
    </row>
    <row r="260" spans="6:6" x14ac:dyDescent="0.25">
      <c r="F260" s="29"/>
    </row>
    <row r="261" spans="6:6" x14ac:dyDescent="0.25">
      <c r="F261" s="29"/>
    </row>
    <row r="262" spans="6:6" x14ac:dyDescent="0.25">
      <c r="F262" s="29"/>
    </row>
    <row r="263" spans="6:6" x14ac:dyDescent="0.25">
      <c r="F263" s="29"/>
    </row>
    <row r="264" spans="6:6" x14ac:dyDescent="0.25">
      <c r="F264" s="29"/>
    </row>
    <row r="265" spans="6:6" x14ac:dyDescent="0.25">
      <c r="F265" s="29"/>
    </row>
    <row r="266" spans="6:6" x14ac:dyDescent="0.25">
      <c r="F266" s="29"/>
    </row>
    <row r="267" spans="6:6" x14ac:dyDescent="0.25">
      <c r="F267" s="29"/>
    </row>
    <row r="268" spans="6:6" x14ac:dyDescent="0.25">
      <c r="F268" s="29"/>
    </row>
    <row r="269" spans="6:6" x14ac:dyDescent="0.25">
      <c r="F269" s="29"/>
    </row>
    <row r="270" spans="6:6" x14ac:dyDescent="0.25">
      <c r="F270" s="29"/>
    </row>
    <row r="271" spans="6:6" x14ac:dyDescent="0.25">
      <c r="F271" s="29"/>
    </row>
    <row r="272" spans="6:6" x14ac:dyDescent="0.25">
      <c r="F272" s="29"/>
    </row>
    <row r="273" spans="6:6" x14ac:dyDescent="0.25">
      <c r="F273" s="29"/>
    </row>
    <row r="274" spans="6:6" x14ac:dyDescent="0.25">
      <c r="F274" s="29"/>
    </row>
    <row r="275" spans="6:6" x14ac:dyDescent="0.25">
      <c r="F275" s="29"/>
    </row>
    <row r="276" spans="6:6" x14ac:dyDescent="0.25">
      <c r="F276" s="29"/>
    </row>
    <row r="277" spans="6:6" x14ac:dyDescent="0.25">
      <c r="F277" s="29"/>
    </row>
    <row r="278" spans="6:6" x14ac:dyDescent="0.25">
      <c r="F278" s="29"/>
    </row>
    <row r="279" spans="6:6" x14ac:dyDescent="0.25">
      <c r="F279" s="29"/>
    </row>
    <row r="280" spans="6:6" x14ac:dyDescent="0.25">
      <c r="F280" s="29"/>
    </row>
    <row r="281" spans="6:6" x14ac:dyDescent="0.25">
      <c r="F281" s="29"/>
    </row>
    <row r="282" spans="6:6" x14ac:dyDescent="0.25">
      <c r="F282" s="29"/>
    </row>
    <row r="283" spans="6:6" x14ac:dyDescent="0.25">
      <c r="F283" s="29"/>
    </row>
    <row r="284" spans="6:6" x14ac:dyDescent="0.25">
      <c r="F284" s="29"/>
    </row>
    <row r="285" spans="6:6" x14ac:dyDescent="0.25">
      <c r="F285" s="29"/>
    </row>
    <row r="286" spans="6:6" x14ac:dyDescent="0.25">
      <c r="F286" s="29"/>
    </row>
    <row r="287" spans="6:6" x14ac:dyDescent="0.25">
      <c r="F287" s="29"/>
    </row>
    <row r="288" spans="6:6" x14ac:dyDescent="0.25">
      <c r="F288" s="29"/>
    </row>
    <row r="289" spans="6:6" x14ac:dyDescent="0.25">
      <c r="F289" s="29"/>
    </row>
    <row r="290" spans="6:6" x14ac:dyDescent="0.25">
      <c r="F290" s="29"/>
    </row>
    <row r="291" spans="6:6" x14ac:dyDescent="0.25">
      <c r="F291" s="29"/>
    </row>
    <row r="292" spans="6:6" x14ac:dyDescent="0.25">
      <c r="F292" s="29"/>
    </row>
    <row r="293" spans="6:6" x14ac:dyDescent="0.25">
      <c r="F293" s="29"/>
    </row>
    <row r="294" spans="6:6" x14ac:dyDescent="0.25">
      <c r="F294" s="29"/>
    </row>
    <row r="295" spans="6:6" x14ac:dyDescent="0.25">
      <c r="F295" s="29"/>
    </row>
    <row r="296" spans="6:6" x14ac:dyDescent="0.25">
      <c r="F296" s="29"/>
    </row>
    <row r="297" spans="6:6" x14ac:dyDescent="0.25">
      <c r="F297" s="29"/>
    </row>
    <row r="298" spans="6:6" x14ac:dyDescent="0.25">
      <c r="F298" s="29"/>
    </row>
    <row r="299" spans="6:6" x14ac:dyDescent="0.25">
      <c r="F299" s="29"/>
    </row>
    <row r="300" spans="6:6" x14ac:dyDescent="0.25">
      <c r="F300" s="29"/>
    </row>
    <row r="301" spans="6:6" x14ac:dyDescent="0.25">
      <c r="F301" s="29"/>
    </row>
    <row r="302" spans="6:6" x14ac:dyDescent="0.25">
      <c r="F302" s="29"/>
    </row>
    <row r="303" spans="6:6" x14ac:dyDescent="0.25">
      <c r="F303" s="29"/>
    </row>
    <row r="304" spans="6:6" x14ac:dyDescent="0.25">
      <c r="F304" s="29"/>
    </row>
    <row r="305" spans="6:6" x14ac:dyDescent="0.25">
      <c r="F305" s="29"/>
    </row>
    <row r="306" spans="6:6" x14ac:dyDescent="0.25">
      <c r="F306" s="29"/>
    </row>
    <row r="307" spans="6:6" x14ac:dyDescent="0.25">
      <c r="F307" s="29"/>
    </row>
  </sheetData>
  <conditionalFormatting sqref="H1:H1048576">
    <cfRule type="cellIs" dxfId="1269" priority="2" operator="lessThan">
      <formula>1</formula>
    </cfRule>
  </conditionalFormatting>
  <conditionalFormatting sqref="E190">
    <cfRule type="expression" dxfId="1268" priority="1">
      <formula>"COUNTIF(K3:K47,E4)&lt;1"</formula>
    </cfRule>
  </conditionalFormatting>
  <pageMargins left="0.7" right="0.7" top="0.75" bottom="0.75" header="0.3" footer="0.3"/>
  <pageSetup scale="89" fitToHeight="0" orientation="landscape" horizontalDpi="4294967293" r:id="rId1"/>
  <tableParts count="1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11BD0-2195-41B1-9AD9-A8A0E8D82190}">
  <sheetPr codeName="Sheet8">
    <pageSetUpPr fitToPage="1"/>
  </sheetPr>
  <dimension ref="A1:H307"/>
  <sheetViews>
    <sheetView topLeftCell="A16" zoomScaleNormal="100" workbookViewId="0">
      <selection activeCell="B44" sqref="B44"/>
    </sheetView>
  </sheetViews>
  <sheetFormatPr defaultRowHeight="15" x14ac:dyDescent="0.25"/>
  <cols>
    <col min="2" max="2" width="17" customWidth="1"/>
    <col min="3" max="3" width="14.85546875" customWidth="1"/>
    <col min="4" max="4" width="12.28515625" customWidth="1"/>
    <col min="5" max="5" width="37.5703125" style="2" customWidth="1"/>
    <col min="6" max="6" width="15.140625" style="30" customWidth="1"/>
    <col min="7" max="7" width="21.140625" customWidth="1"/>
    <col min="10" max="10" width="12.7109375" customWidth="1"/>
    <col min="11" max="11" width="42.7109375" bestFit="1" customWidth="1"/>
    <col min="14" max="14" width="8.42578125" bestFit="1" customWidth="1"/>
  </cols>
  <sheetData>
    <row r="1" spans="1:8" x14ac:dyDescent="0.25">
      <c r="A1" t="s">
        <v>0</v>
      </c>
      <c r="B1" t="s">
        <v>73</v>
      </c>
      <c r="C1" t="s">
        <v>1</v>
      </c>
      <c r="D1" t="s">
        <v>2</v>
      </c>
      <c r="E1" t="s">
        <v>3</v>
      </c>
      <c r="F1" s="29" t="s">
        <v>4</v>
      </c>
      <c r="G1" t="s">
        <v>5</v>
      </c>
      <c r="H1" t="s">
        <v>458</v>
      </c>
    </row>
    <row r="2" spans="1:8" x14ac:dyDescent="0.25">
      <c r="A2">
        <v>1</v>
      </c>
      <c r="B2">
        <f t="shared" ref="B2:B20" si="0">IF(H2=1,MAX(21-A2,0),0)</f>
        <v>20</v>
      </c>
      <c r="C2" t="s">
        <v>6</v>
      </c>
      <c r="D2" t="s">
        <v>7</v>
      </c>
      <c r="E2" t="s">
        <v>8</v>
      </c>
      <c r="F2" s="29" t="s">
        <v>1187</v>
      </c>
      <c r="G2" t="s">
        <v>9</v>
      </c>
      <c r="H2">
        <f>COUNTIF(ValidTeams[],E2)</f>
        <v>1</v>
      </c>
    </row>
    <row r="3" spans="1:8" x14ac:dyDescent="0.25">
      <c r="A3">
        <v>2</v>
      </c>
      <c r="B3">
        <f t="shared" si="0"/>
        <v>19</v>
      </c>
      <c r="C3" t="s">
        <v>513</v>
      </c>
      <c r="D3" t="s">
        <v>30</v>
      </c>
      <c r="E3" t="s">
        <v>442</v>
      </c>
      <c r="F3" s="29" t="s">
        <v>1188</v>
      </c>
      <c r="G3" t="s">
        <v>9</v>
      </c>
      <c r="H3">
        <f>COUNTIF(ValidTeams[],E3)</f>
        <v>1</v>
      </c>
    </row>
    <row r="4" spans="1:8" x14ac:dyDescent="0.25">
      <c r="A4">
        <v>3</v>
      </c>
      <c r="B4">
        <f t="shared" si="0"/>
        <v>0</v>
      </c>
      <c r="C4" t="s">
        <v>1189</v>
      </c>
      <c r="D4" t="s">
        <v>30</v>
      </c>
      <c r="E4" t="s">
        <v>1190</v>
      </c>
      <c r="F4" s="29" t="s">
        <v>1191</v>
      </c>
      <c r="G4" t="s">
        <v>9</v>
      </c>
      <c r="H4">
        <f>COUNTIF(ValidTeams[],E4)</f>
        <v>0</v>
      </c>
    </row>
    <row r="5" spans="1:8" x14ac:dyDescent="0.25">
      <c r="A5">
        <v>4</v>
      </c>
      <c r="B5">
        <f t="shared" si="0"/>
        <v>17</v>
      </c>
      <c r="C5" t="s">
        <v>1192</v>
      </c>
      <c r="D5" t="s">
        <v>511</v>
      </c>
      <c r="E5" t="s">
        <v>448</v>
      </c>
      <c r="F5" s="29" t="s">
        <v>1074</v>
      </c>
      <c r="G5" t="s">
        <v>9</v>
      </c>
      <c r="H5">
        <f>COUNTIF(ValidTeams[],E5)</f>
        <v>1</v>
      </c>
    </row>
    <row r="6" spans="1:8" x14ac:dyDescent="0.25">
      <c r="A6">
        <v>5</v>
      </c>
      <c r="B6">
        <f t="shared" si="0"/>
        <v>0</v>
      </c>
      <c r="C6" t="s">
        <v>703</v>
      </c>
      <c r="D6" t="s">
        <v>310</v>
      </c>
      <c r="E6" t="s">
        <v>706</v>
      </c>
      <c r="F6" s="29" t="s">
        <v>1193</v>
      </c>
      <c r="G6" t="s">
        <v>9</v>
      </c>
      <c r="H6">
        <f>COUNTIF(ValidTeams[],E6)</f>
        <v>0</v>
      </c>
    </row>
    <row r="7" spans="1:8" x14ac:dyDescent="0.25">
      <c r="A7">
        <v>6</v>
      </c>
      <c r="B7">
        <f t="shared" si="0"/>
        <v>15</v>
      </c>
      <c r="C7" t="s">
        <v>1194</v>
      </c>
      <c r="D7" t="s">
        <v>27</v>
      </c>
      <c r="E7" t="s">
        <v>448</v>
      </c>
      <c r="F7" s="29" t="s">
        <v>1195</v>
      </c>
      <c r="G7" t="s">
        <v>9</v>
      </c>
      <c r="H7">
        <f>COUNTIF(ValidTeams[],E7)</f>
        <v>1</v>
      </c>
    </row>
    <row r="8" spans="1:8" x14ac:dyDescent="0.25">
      <c r="A8">
        <v>7</v>
      </c>
      <c r="B8">
        <f t="shared" si="0"/>
        <v>0</v>
      </c>
      <c r="C8" t="s">
        <v>1196</v>
      </c>
      <c r="D8" t="s">
        <v>20</v>
      </c>
      <c r="E8" t="s">
        <v>1197</v>
      </c>
      <c r="F8" s="29" t="s">
        <v>1198</v>
      </c>
      <c r="G8" t="s">
        <v>9</v>
      </c>
      <c r="H8">
        <f>COUNTIF(ValidTeams[],E8)</f>
        <v>0</v>
      </c>
    </row>
    <row r="9" spans="1:8" x14ac:dyDescent="0.25">
      <c r="A9">
        <v>8</v>
      </c>
      <c r="B9">
        <f t="shared" si="0"/>
        <v>13</v>
      </c>
      <c r="C9" t="s">
        <v>16</v>
      </c>
      <c r="D9" t="s">
        <v>17</v>
      </c>
      <c r="E9" t="s">
        <v>18</v>
      </c>
      <c r="F9" s="29" t="s">
        <v>1199</v>
      </c>
      <c r="G9" t="s">
        <v>9</v>
      </c>
      <c r="H9">
        <f>COUNTIF(ValidTeams[],E9)</f>
        <v>1</v>
      </c>
    </row>
    <row r="10" spans="1:8" x14ac:dyDescent="0.25">
      <c r="A10">
        <v>9</v>
      </c>
      <c r="B10">
        <f t="shared" si="0"/>
        <v>0</v>
      </c>
      <c r="C10" t="s">
        <v>1200</v>
      </c>
      <c r="D10" t="s">
        <v>1201</v>
      </c>
      <c r="E10"/>
      <c r="F10" s="29" t="s">
        <v>1202</v>
      </c>
      <c r="G10" t="s">
        <v>9</v>
      </c>
      <c r="H10">
        <f>COUNTIF(ValidTeams[],E10)</f>
        <v>0</v>
      </c>
    </row>
    <row r="11" spans="1:8" x14ac:dyDescent="0.25">
      <c r="A11">
        <v>10</v>
      </c>
      <c r="B11">
        <f t="shared" si="0"/>
        <v>11</v>
      </c>
      <c r="C11" t="s">
        <v>28</v>
      </c>
      <c r="D11" t="s">
        <v>20</v>
      </c>
      <c r="E11" t="s">
        <v>442</v>
      </c>
      <c r="F11" s="29" t="s">
        <v>1203</v>
      </c>
      <c r="G11" t="s">
        <v>9</v>
      </c>
      <c r="H11">
        <f>COUNTIF(ValidTeams[],E11)</f>
        <v>1</v>
      </c>
    </row>
    <row r="12" spans="1:8" x14ac:dyDescent="0.25">
      <c r="A12">
        <v>11</v>
      </c>
      <c r="B12">
        <f t="shared" si="0"/>
        <v>10</v>
      </c>
      <c r="C12" t="s">
        <v>29</v>
      </c>
      <c r="D12" t="s">
        <v>30</v>
      </c>
      <c r="E12" t="s">
        <v>31</v>
      </c>
      <c r="F12" s="29" t="s">
        <v>1204</v>
      </c>
      <c r="G12" t="s">
        <v>9</v>
      </c>
      <c r="H12">
        <f>COUNTIF(ValidTeams[],E12)</f>
        <v>1</v>
      </c>
    </row>
    <row r="13" spans="1:8" x14ac:dyDescent="0.25">
      <c r="A13">
        <v>12</v>
      </c>
      <c r="B13" s="23">
        <f t="shared" si="0"/>
        <v>9</v>
      </c>
      <c r="C13" t="s">
        <v>32</v>
      </c>
      <c r="D13" t="s">
        <v>33</v>
      </c>
      <c r="E13" s="2" t="s">
        <v>34</v>
      </c>
      <c r="F13" s="29" t="s">
        <v>1205</v>
      </c>
      <c r="G13" t="s">
        <v>9</v>
      </c>
      <c r="H13" s="23">
        <f>COUNTIF(ValidTeams[],E13)</f>
        <v>1</v>
      </c>
    </row>
    <row r="14" spans="1:8" x14ac:dyDescent="0.25">
      <c r="A14">
        <v>13</v>
      </c>
      <c r="B14" s="23">
        <f t="shared" si="0"/>
        <v>0</v>
      </c>
      <c r="F14" s="29"/>
      <c r="G14" t="s">
        <v>9</v>
      </c>
      <c r="H14" s="23">
        <f>COUNTIF(ValidTeams[],E14)</f>
        <v>0</v>
      </c>
    </row>
    <row r="15" spans="1:8" x14ac:dyDescent="0.25">
      <c r="A15">
        <v>14</v>
      </c>
      <c r="B15" s="23">
        <f t="shared" si="0"/>
        <v>0</v>
      </c>
      <c r="F15" s="29"/>
      <c r="G15" t="s">
        <v>9</v>
      </c>
      <c r="H15" s="23">
        <f>COUNTIF(ValidTeams[],E15)</f>
        <v>0</v>
      </c>
    </row>
    <row r="16" spans="1:8" x14ac:dyDescent="0.25">
      <c r="A16">
        <v>15</v>
      </c>
      <c r="B16" s="23">
        <f t="shared" si="0"/>
        <v>0</v>
      </c>
      <c r="F16" s="29"/>
      <c r="G16" t="s">
        <v>9</v>
      </c>
      <c r="H16" s="23">
        <f>COUNTIF(ValidTeams[],E16)</f>
        <v>0</v>
      </c>
    </row>
    <row r="17" spans="1:8" x14ac:dyDescent="0.25">
      <c r="A17">
        <v>16</v>
      </c>
      <c r="B17" s="23">
        <f t="shared" si="0"/>
        <v>0</v>
      </c>
      <c r="F17" s="29"/>
      <c r="G17" t="s">
        <v>9</v>
      </c>
      <c r="H17" s="23">
        <f>COUNTIF(ValidTeams[],E17)</f>
        <v>0</v>
      </c>
    </row>
    <row r="18" spans="1:8" x14ac:dyDescent="0.25">
      <c r="A18">
        <v>17</v>
      </c>
      <c r="B18" s="23">
        <f t="shared" si="0"/>
        <v>0</v>
      </c>
      <c r="F18" s="29"/>
      <c r="G18" t="s">
        <v>9</v>
      </c>
      <c r="H18" s="23">
        <f>COUNTIF(ValidTeams[],E18)</f>
        <v>0</v>
      </c>
    </row>
    <row r="19" spans="1:8" x14ac:dyDescent="0.25">
      <c r="A19">
        <v>18</v>
      </c>
      <c r="B19" s="23">
        <f t="shared" si="0"/>
        <v>0</v>
      </c>
      <c r="F19" s="29"/>
      <c r="G19" t="s">
        <v>9</v>
      </c>
      <c r="H19" s="23">
        <f>COUNTIF(ValidTeams[],E19)</f>
        <v>0</v>
      </c>
    </row>
    <row r="20" spans="1:8" x14ac:dyDescent="0.25">
      <c r="A20">
        <v>19</v>
      </c>
      <c r="B20" s="23">
        <f t="shared" si="0"/>
        <v>0</v>
      </c>
      <c r="F20" s="29"/>
      <c r="G20" t="s">
        <v>9</v>
      </c>
      <c r="H20" s="23">
        <f>COUNTIF(ValidTeams[],E20)</f>
        <v>0</v>
      </c>
    </row>
    <row r="21" spans="1:8" x14ac:dyDescent="0.25">
      <c r="A21">
        <v>20</v>
      </c>
      <c r="B21" s="23">
        <f>IF(H21=1,MAX(21-A21,0),0)</f>
        <v>0</v>
      </c>
      <c r="F21" s="29"/>
      <c r="G21" t="s">
        <v>9</v>
      </c>
      <c r="H21" s="23">
        <f>COUNTIF(ValidTeams[],E21)</f>
        <v>0</v>
      </c>
    </row>
    <row r="22" spans="1:8" x14ac:dyDescent="0.25">
      <c r="A22">
        <v>21</v>
      </c>
      <c r="B22" s="23">
        <f>IF(H22=1,MAX(21-A22,0),0)</f>
        <v>0</v>
      </c>
      <c r="F22" s="29"/>
      <c r="G22" t="s">
        <v>9</v>
      </c>
      <c r="H22" s="23">
        <f>COUNTIF(ValidTeams[],E22)</f>
        <v>0</v>
      </c>
    </row>
    <row r="23" spans="1:8" x14ac:dyDescent="0.25">
      <c r="A23">
        <v>22</v>
      </c>
      <c r="B23" s="23">
        <f>IF(H23=1,MAX(21-A23,0),0)</f>
        <v>0</v>
      </c>
      <c r="F23" s="29"/>
      <c r="G23" t="s">
        <v>9</v>
      </c>
      <c r="H23" s="23">
        <f>COUNTIF(ValidTeams[],E23)</f>
        <v>0</v>
      </c>
    </row>
    <row r="24" spans="1:8" x14ac:dyDescent="0.25">
      <c r="B24" s="23"/>
      <c r="F24" s="29"/>
      <c r="H24" s="23"/>
    </row>
    <row r="25" spans="1:8" x14ac:dyDescent="0.25">
      <c r="A25" t="s">
        <v>0</v>
      </c>
      <c r="B25" t="s">
        <v>73</v>
      </c>
      <c r="C25" t="s">
        <v>1</v>
      </c>
      <c r="D25" t="s">
        <v>2</v>
      </c>
      <c r="E25" t="s">
        <v>3</v>
      </c>
      <c r="F25" s="29" t="s">
        <v>4</v>
      </c>
      <c r="G25" t="s">
        <v>5</v>
      </c>
      <c r="H25" t="s">
        <v>72</v>
      </c>
    </row>
    <row r="26" spans="1:8" x14ac:dyDescent="0.25">
      <c r="A26">
        <v>1</v>
      </c>
      <c r="B26">
        <f t="shared" ref="B26:B35" si="1">IF(H26=1,MAX(21-A26,0),0)</f>
        <v>20</v>
      </c>
      <c r="C26" t="s">
        <v>36</v>
      </c>
      <c r="D26" t="s">
        <v>37</v>
      </c>
      <c r="E26" t="s">
        <v>38</v>
      </c>
      <c r="F26" s="29" t="s">
        <v>1173</v>
      </c>
      <c r="G26" t="s">
        <v>39</v>
      </c>
      <c r="H26">
        <f>COUNTIF(ValidTeams[],E26)</f>
        <v>1</v>
      </c>
    </row>
    <row r="27" spans="1:8" x14ac:dyDescent="0.25">
      <c r="A27">
        <v>2</v>
      </c>
      <c r="B27">
        <f t="shared" si="1"/>
        <v>19</v>
      </c>
      <c r="C27" t="s">
        <v>42</v>
      </c>
      <c r="D27" t="s">
        <v>43</v>
      </c>
      <c r="E27" t="s">
        <v>44</v>
      </c>
      <c r="F27" s="29" t="s">
        <v>1328</v>
      </c>
      <c r="G27" t="s">
        <v>39</v>
      </c>
      <c r="H27">
        <f>COUNTIF(ValidTeams[],E27)</f>
        <v>1</v>
      </c>
    </row>
    <row r="28" spans="1:8" x14ac:dyDescent="0.25">
      <c r="A28">
        <v>3</v>
      </c>
      <c r="B28">
        <f t="shared" si="1"/>
        <v>18</v>
      </c>
      <c r="C28" t="s">
        <v>741</v>
      </c>
      <c r="D28" t="s">
        <v>742</v>
      </c>
      <c r="E28" t="s">
        <v>49</v>
      </c>
      <c r="F28" s="29" t="s">
        <v>1329</v>
      </c>
      <c r="G28" t="s">
        <v>39</v>
      </c>
      <c r="H28">
        <f>COUNTIF(ValidTeams[],E28)</f>
        <v>1</v>
      </c>
    </row>
    <row r="29" spans="1:8" x14ac:dyDescent="0.25">
      <c r="A29">
        <v>4</v>
      </c>
      <c r="B29">
        <f t="shared" si="1"/>
        <v>0</v>
      </c>
      <c r="C29" t="s">
        <v>559</v>
      </c>
      <c r="D29" t="s">
        <v>560</v>
      </c>
      <c r="E29" t="s">
        <v>1330</v>
      </c>
      <c r="F29" s="29" t="s">
        <v>1331</v>
      </c>
      <c r="G29" t="s">
        <v>39</v>
      </c>
      <c r="H29">
        <f>COUNTIF(ValidTeams[],E29)</f>
        <v>0</v>
      </c>
    </row>
    <row r="30" spans="1:8" x14ac:dyDescent="0.25">
      <c r="A30">
        <v>5</v>
      </c>
      <c r="B30">
        <f t="shared" si="1"/>
        <v>16</v>
      </c>
      <c r="C30" t="s">
        <v>32</v>
      </c>
      <c r="D30" t="s">
        <v>48</v>
      </c>
      <c r="E30" t="s">
        <v>49</v>
      </c>
      <c r="F30" s="29" t="s">
        <v>1332</v>
      </c>
      <c r="G30" t="s">
        <v>39</v>
      </c>
      <c r="H30">
        <f>COUNTIF(ValidTeams[],E30)</f>
        <v>1</v>
      </c>
    </row>
    <row r="31" spans="1:8" x14ac:dyDescent="0.25">
      <c r="A31">
        <v>6</v>
      </c>
      <c r="B31">
        <f t="shared" si="1"/>
        <v>15</v>
      </c>
      <c r="C31" t="s">
        <v>66</v>
      </c>
      <c r="D31" t="s">
        <v>67</v>
      </c>
      <c r="E31" t="s">
        <v>442</v>
      </c>
      <c r="F31" s="29" t="s">
        <v>1333</v>
      </c>
      <c r="G31" t="s">
        <v>39</v>
      </c>
      <c r="H31">
        <f>COUNTIF(ValidTeams[],E31)</f>
        <v>1</v>
      </c>
    </row>
    <row r="32" spans="1:8" x14ac:dyDescent="0.25">
      <c r="A32">
        <v>7</v>
      </c>
      <c r="B32">
        <f t="shared" si="1"/>
        <v>14</v>
      </c>
      <c r="C32" t="s">
        <v>1334</v>
      </c>
      <c r="D32" t="s">
        <v>1335</v>
      </c>
      <c r="E32" t="s">
        <v>238</v>
      </c>
      <c r="F32" s="28">
        <v>2.5880787037037032E-2</v>
      </c>
      <c r="G32" t="s">
        <v>39</v>
      </c>
      <c r="H32">
        <f>COUNTIF(ValidTeams[],E32)</f>
        <v>1</v>
      </c>
    </row>
    <row r="33" spans="1:8" x14ac:dyDescent="0.25">
      <c r="A33">
        <v>8</v>
      </c>
      <c r="B33">
        <f t="shared" si="1"/>
        <v>0</v>
      </c>
      <c r="E33"/>
      <c r="F33" s="28"/>
      <c r="G33" t="s">
        <v>39</v>
      </c>
      <c r="H33">
        <f>COUNTIF(ValidTeams[],E33)</f>
        <v>0</v>
      </c>
    </row>
    <row r="34" spans="1:8" x14ac:dyDescent="0.25">
      <c r="A34">
        <v>9</v>
      </c>
      <c r="B34">
        <f t="shared" si="1"/>
        <v>0</v>
      </c>
      <c r="E34"/>
      <c r="F34" s="28"/>
      <c r="G34" t="s">
        <v>39</v>
      </c>
      <c r="H34">
        <f>COUNTIF(ValidTeams[],E34)</f>
        <v>0</v>
      </c>
    </row>
    <row r="35" spans="1:8" x14ac:dyDescent="0.25">
      <c r="A35">
        <v>10</v>
      </c>
      <c r="B35">
        <f t="shared" si="1"/>
        <v>0</v>
      </c>
      <c r="E35"/>
      <c r="F35" s="28"/>
      <c r="G35" t="s">
        <v>39</v>
      </c>
      <c r="H35">
        <f>COUNTIF(ValidTeams[],E35)</f>
        <v>0</v>
      </c>
    </row>
    <row r="36" spans="1:8" x14ac:dyDescent="0.25">
      <c r="A36">
        <v>11</v>
      </c>
      <c r="B36" s="23">
        <f>IF(H36=1,MAX(21-A36,0),0)</f>
        <v>0</v>
      </c>
      <c r="F36" s="29"/>
      <c r="G36" t="s">
        <v>39</v>
      </c>
      <c r="H36" s="23">
        <f>COUNTIF(ValidTeams[],E36)</f>
        <v>0</v>
      </c>
    </row>
    <row r="37" spans="1:8" x14ac:dyDescent="0.25">
      <c r="A37">
        <v>12</v>
      </c>
      <c r="B37" s="23">
        <f>IF(H37=1,MAX(21-A37,0),0)</f>
        <v>0</v>
      </c>
      <c r="F37" s="29"/>
      <c r="G37" t="s">
        <v>39</v>
      </c>
      <c r="H37" s="23">
        <f>COUNTIF(ValidTeams[],E37)</f>
        <v>0</v>
      </c>
    </row>
    <row r="38" spans="1:8" x14ac:dyDescent="0.25">
      <c r="B38" s="23"/>
      <c r="F38" s="29"/>
      <c r="H38" s="23"/>
    </row>
    <row r="39" spans="1:8" x14ac:dyDescent="0.25">
      <c r="A39" t="s">
        <v>0</v>
      </c>
      <c r="B39" t="s">
        <v>73</v>
      </c>
      <c r="C39" t="s">
        <v>1</v>
      </c>
      <c r="D39" t="s">
        <v>2</v>
      </c>
      <c r="E39" s="2" t="s">
        <v>3</v>
      </c>
      <c r="F39" s="30" t="s">
        <v>4</v>
      </c>
      <c r="G39" t="s">
        <v>5</v>
      </c>
    </row>
    <row r="40" spans="1:8" x14ac:dyDescent="0.25">
      <c r="A40">
        <v>1</v>
      </c>
      <c r="B40">
        <v>20</v>
      </c>
      <c r="C40" t="s">
        <v>1308</v>
      </c>
      <c r="D40" t="s">
        <v>257</v>
      </c>
      <c r="E40" s="2" t="s">
        <v>1309</v>
      </c>
      <c r="F40" s="29" t="s">
        <v>1310</v>
      </c>
      <c r="G40" t="s">
        <v>86</v>
      </c>
    </row>
    <row r="41" spans="1:8" x14ac:dyDescent="0.25">
      <c r="A41">
        <v>2</v>
      </c>
      <c r="B41">
        <v>19</v>
      </c>
      <c r="C41" t="s">
        <v>1312</v>
      </c>
      <c r="D41" t="s">
        <v>1311</v>
      </c>
      <c r="E41" s="2" t="s">
        <v>1313</v>
      </c>
      <c r="F41" s="29" t="s">
        <v>1314</v>
      </c>
      <c r="G41" t="s">
        <v>86</v>
      </c>
    </row>
    <row r="42" spans="1:8" x14ac:dyDescent="0.25">
      <c r="A42">
        <v>3</v>
      </c>
      <c r="B42">
        <v>18</v>
      </c>
      <c r="C42" t="s">
        <v>93</v>
      </c>
      <c r="D42" t="s">
        <v>92</v>
      </c>
      <c r="E42" s="2" t="s">
        <v>91</v>
      </c>
      <c r="F42" s="29" t="s">
        <v>1315</v>
      </c>
      <c r="G42" t="s">
        <v>86</v>
      </c>
    </row>
    <row r="43" spans="1:8" x14ac:dyDescent="0.25">
      <c r="A43">
        <v>4</v>
      </c>
      <c r="B43">
        <v>17</v>
      </c>
      <c r="C43" t="s">
        <v>94</v>
      </c>
      <c r="D43" t="s">
        <v>95</v>
      </c>
      <c r="E43" s="2" t="s">
        <v>91</v>
      </c>
      <c r="F43" s="29" t="s">
        <v>1316</v>
      </c>
      <c r="G43" t="s">
        <v>86</v>
      </c>
    </row>
    <row r="44" spans="1:8" x14ac:dyDescent="0.25">
      <c r="A44">
        <v>5</v>
      </c>
      <c r="B44">
        <v>16</v>
      </c>
      <c r="C44" t="s">
        <v>89</v>
      </c>
      <c r="D44" t="s">
        <v>90</v>
      </c>
      <c r="E44" s="2" t="s">
        <v>91</v>
      </c>
      <c r="F44" s="29" t="s">
        <v>1317</v>
      </c>
      <c r="G44" t="s">
        <v>86</v>
      </c>
    </row>
    <row r="45" spans="1:8" x14ac:dyDescent="0.25">
      <c r="A45">
        <v>6</v>
      </c>
      <c r="B45">
        <v>15</v>
      </c>
      <c r="F45" s="29"/>
      <c r="G45" t="s">
        <v>86</v>
      </c>
    </row>
    <row r="46" spans="1:8" x14ac:dyDescent="0.25">
      <c r="F46" s="29"/>
    </row>
    <row r="47" spans="1:8" x14ac:dyDescent="0.25">
      <c r="A47" s="4" t="s">
        <v>0</v>
      </c>
      <c r="B47" s="4" t="s">
        <v>73</v>
      </c>
      <c r="C47" s="4" t="s">
        <v>1</v>
      </c>
      <c r="D47" s="4" t="s">
        <v>2</v>
      </c>
      <c r="E47" s="5" t="s">
        <v>3</v>
      </c>
      <c r="F47" s="31" t="s">
        <v>4</v>
      </c>
      <c r="G47" s="4" t="s">
        <v>5</v>
      </c>
    </row>
    <row r="48" spans="1:8" x14ac:dyDescent="0.25">
      <c r="A48" s="1">
        <v>1</v>
      </c>
      <c r="B48" s="1">
        <v>20</v>
      </c>
      <c r="C48" s="1" t="s">
        <v>98</v>
      </c>
      <c r="D48" s="1" t="s">
        <v>99</v>
      </c>
      <c r="E48" s="3" t="s">
        <v>100</v>
      </c>
      <c r="F48" s="32" t="s">
        <v>1248</v>
      </c>
      <c r="G48" s="1" t="s">
        <v>101</v>
      </c>
    </row>
    <row r="49" spans="1:7" x14ac:dyDescent="0.25">
      <c r="A49" s="1">
        <v>2</v>
      </c>
      <c r="B49" s="1">
        <v>19</v>
      </c>
      <c r="C49" s="1" t="s">
        <v>102</v>
      </c>
      <c r="D49" s="1" t="s">
        <v>103</v>
      </c>
      <c r="E49" s="3" t="s">
        <v>100</v>
      </c>
      <c r="F49" s="32" t="s">
        <v>1249</v>
      </c>
      <c r="G49" s="1" t="s">
        <v>101</v>
      </c>
    </row>
    <row r="50" spans="1:7" x14ac:dyDescent="0.25">
      <c r="A50" s="1">
        <v>3</v>
      </c>
      <c r="B50" s="1">
        <v>18</v>
      </c>
      <c r="C50" s="1" t="s">
        <v>104</v>
      </c>
      <c r="D50" s="1" t="s">
        <v>105</v>
      </c>
      <c r="E50" s="3" t="s">
        <v>100</v>
      </c>
      <c r="F50" s="32" t="s">
        <v>1250</v>
      </c>
      <c r="G50" s="1" t="s">
        <v>101</v>
      </c>
    </row>
    <row r="51" spans="1:7" x14ac:dyDescent="0.25">
      <c r="F51" s="29"/>
    </row>
    <row r="52" spans="1:7" x14ac:dyDescent="0.25">
      <c r="A52" s="4" t="s">
        <v>0</v>
      </c>
      <c r="B52" s="4" t="s">
        <v>73</v>
      </c>
      <c r="C52" s="4" t="s">
        <v>1</v>
      </c>
      <c r="D52" s="4" t="s">
        <v>2</v>
      </c>
      <c r="E52" s="5" t="s">
        <v>3</v>
      </c>
      <c r="F52" s="31" t="s">
        <v>4</v>
      </c>
      <c r="G52" s="4" t="s">
        <v>5</v>
      </c>
    </row>
    <row r="53" spans="1:7" x14ac:dyDescent="0.25">
      <c r="A53" s="1">
        <v>1</v>
      </c>
      <c r="B53" s="1">
        <v>20</v>
      </c>
      <c r="C53" s="1" t="s">
        <v>768</v>
      </c>
      <c r="D53" s="1" t="s">
        <v>769</v>
      </c>
      <c r="E53" s="3" t="s">
        <v>1251</v>
      </c>
      <c r="F53" s="32" t="s">
        <v>1252</v>
      </c>
      <c r="G53" s="1" t="s">
        <v>109</v>
      </c>
    </row>
    <row r="54" spans="1:7" x14ac:dyDescent="0.25">
      <c r="A54" s="1">
        <v>2</v>
      </c>
      <c r="B54" s="1">
        <v>19</v>
      </c>
      <c r="C54" s="1" t="s">
        <v>106</v>
      </c>
      <c r="D54" s="1" t="s">
        <v>107</v>
      </c>
      <c r="E54" s="3" t="s">
        <v>100</v>
      </c>
      <c r="F54" s="32" t="s">
        <v>1171</v>
      </c>
      <c r="G54" s="1" t="s">
        <v>109</v>
      </c>
    </row>
    <row r="55" spans="1:7" x14ac:dyDescent="0.25">
      <c r="A55" s="1">
        <v>3</v>
      </c>
      <c r="B55" s="1">
        <v>18</v>
      </c>
      <c r="C55" s="1" t="s">
        <v>1253</v>
      </c>
      <c r="D55" s="1" t="s">
        <v>421</v>
      </c>
      <c r="E55" s="3" t="s">
        <v>100</v>
      </c>
      <c r="F55" s="32" t="s">
        <v>1254</v>
      </c>
      <c r="G55" s="1" t="s">
        <v>109</v>
      </c>
    </row>
    <row r="56" spans="1:7" x14ac:dyDescent="0.25">
      <c r="A56" s="6"/>
      <c r="B56" s="6"/>
      <c r="C56" s="6"/>
      <c r="D56" s="6"/>
      <c r="E56" s="21"/>
      <c r="F56" s="33"/>
      <c r="G56" s="6"/>
    </row>
    <row r="57" spans="1:7" x14ac:dyDescent="0.25">
      <c r="A57" s="4" t="s">
        <v>0</v>
      </c>
      <c r="B57" s="4" t="s">
        <v>73</v>
      </c>
      <c r="C57" s="4" t="s">
        <v>1</v>
      </c>
      <c r="D57" s="4" t="s">
        <v>2</v>
      </c>
      <c r="E57" s="5" t="s">
        <v>3</v>
      </c>
      <c r="F57" s="31" t="s">
        <v>4</v>
      </c>
      <c r="G57" s="4" t="s">
        <v>5</v>
      </c>
    </row>
    <row r="58" spans="1:7" x14ac:dyDescent="0.25">
      <c r="A58" s="1">
        <v>1</v>
      </c>
      <c r="B58" s="1">
        <v>20</v>
      </c>
      <c r="C58" s="1" t="s">
        <v>115</v>
      </c>
      <c r="D58" s="1" t="s">
        <v>116</v>
      </c>
      <c r="E58" s="3" t="s">
        <v>100</v>
      </c>
      <c r="F58" s="32" t="s">
        <v>1255</v>
      </c>
      <c r="G58" s="1" t="s">
        <v>112</v>
      </c>
    </row>
    <row r="59" spans="1:7" x14ac:dyDescent="0.25">
      <c r="A59" s="6"/>
      <c r="B59" s="6"/>
      <c r="C59" s="6"/>
      <c r="D59" s="6"/>
      <c r="E59" s="21"/>
      <c r="F59" s="33"/>
      <c r="G59" s="6"/>
    </row>
    <row r="60" spans="1:7" x14ac:dyDescent="0.25">
      <c r="A60" s="4" t="s">
        <v>0</v>
      </c>
      <c r="B60" s="4" t="s">
        <v>73</v>
      </c>
      <c r="C60" s="4" t="s">
        <v>1</v>
      </c>
      <c r="D60" s="4" t="s">
        <v>2</v>
      </c>
      <c r="E60" s="5" t="s">
        <v>3</v>
      </c>
      <c r="F60" s="31" t="s">
        <v>4</v>
      </c>
      <c r="G60" s="4" t="s">
        <v>5</v>
      </c>
    </row>
    <row r="61" spans="1:7" x14ac:dyDescent="0.25">
      <c r="A61" s="1">
        <v>1</v>
      </c>
      <c r="B61" s="1">
        <v>20</v>
      </c>
      <c r="C61" s="1"/>
      <c r="D61" s="1"/>
      <c r="E61" s="3"/>
      <c r="F61" s="32"/>
      <c r="G61" s="1" t="s">
        <v>119</v>
      </c>
    </row>
    <row r="62" spans="1:7" x14ac:dyDescent="0.25">
      <c r="A62" s="1">
        <v>2</v>
      </c>
      <c r="B62" s="1">
        <v>19</v>
      </c>
      <c r="C62" s="1"/>
      <c r="D62" s="1"/>
      <c r="E62" s="3"/>
      <c r="F62" s="32"/>
      <c r="G62" s="1" t="s">
        <v>119</v>
      </c>
    </row>
    <row r="63" spans="1:7" x14ac:dyDescent="0.25">
      <c r="A63" s="6"/>
      <c r="B63" s="6"/>
      <c r="C63" s="6"/>
      <c r="D63" s="6"/>
      <c r="E63" s="21"/>
      <c r="F63" s="33"/>
      <c r="G63" s="6"/>
    </row>
    <row r="64" spans="1:7" x14ac:dyDescent="0.25">
      <c r="A64" s="4" t="s">
        <v>0</v>
      </c>
      <c r="B64" s="4" t="s">
        <v>73</v>
      </c>
      <c r="C64" s="4" t="s">
        <v>1</v>
      </c>
      <c r="D64" s="4" t="s">
        <v>2</v>
      </c>
      <c r="E64" s="5" t="s">
        <v>3</v>
      </c>
      <c r="F64" s="31" t="s">
        <v>4</v>
      </c>
      <c r="G64" s="4" t="s">
        <v>5</v>
      </c>
    </row>
    <row r="65" spans="1:8" x14ac:dyDescent="0.25">
      <c r="A65" s="1">
        <v>1</v>
      </c>
      <c r="B65" s="1">
        <v>20</v>
      </c>
      <c r="C65" s="1"/>
      <c r="D65" s="1"/>
      <c r="E65" s="3"/>
      <c r="F65" s="32"/>
      <c r="G65" s="1" t="s">
        <v>121</v>
      </c>
    </row>
    <row r="66" spans="1:8" x14ac:dyDescent="0.25">
      <c r="F66" s="29"/>
    </row>
    <row r="67" spans="1:8" x14ac:dyDescent="0.25">
      <c r="A67" s="4" t="s">
        <v>0</v>
      </c>
      <c r="B67" s="4" t="s">
        <v>73</v>
      </c>
      <c r="C67" s="4" t="s">
        <v>1</v>
      </c>
      <c r="D67" s="4" t="s">
        <v>2</v>
      </c>
      <c r="E67" s="5" t="s">
        <v>3</v>
      </c>
      <c r="F67" s="31" t="s">
        <v>4</v>
      </c>
      <c r="G67" s="4" t="s">
        <v>5</v>
      </c>
      <c r="H67" s="4" t="s">
        <v>72</v>
      </c>
    </row>
    <row r="68" spans="1:8" x14ac:dyDescent="0.25">
      <c r="A68" s="1">
        <v>1</v>
      </c>
      <c r="B68">
        <f t="shared" ref="B68:B72" si="2">IF(H68=1,MAX(21-A68,0),0)</f>
        <v>20</v>
      </c>
      <c r="C68" s="1" t="s">
        <v>792</v>
      </c>
      <c r="D68" s="1" t="s">
        <v>793</v>
      </c>
      <c r="E68" s="3" t="s">
        <v>12</v>
      </c>
      <c r="F68" s="32" t="s">
        <v>1256</v>
      </c>
      <c r="G68" s="1" t="s">
        <v>124</v>
      </c>
      <c r="H68" s="6">
        <f>COUNTIF(ValidTeams[],E68)</f>
        <v>1</v>
      </c>
    </row>
    <row r="69" spans="1:8" x14ac:dyDescent="0.25">
      <c r="A69" s="1">
        <v>2</v>
      </c>
      <c r="B69">
        <f t="shared" si="2"/>
        <v>19</v>
      </c>
      <c r="C69" s="1" t="s">
        <v>577</v>
      </c>
      <c r="D69" s="1" t="s">
        <v>123</v>
      </c>
      <c r="E69" s="3" t="s">
        <v>451</v>
      </c>
      <c r="F69" s="32" t="s">
        <v>1258</v>
      </c>
      <c r="G69" s="1" t="s">
        <v>124</v>
      </c>
      <c r="H69" s="6">
        <f>COUNTIF(ValidTeams[],E69)</f>
        <v>1</v>
      </c>
    </row>
    <row r="70" spans="1:8" x14ac:dyDescent="0.25">
      <c r="A70">
        <v>3</v>
      </c>
      <c r="B70">
        <f t="shared" si="2"/>
        <v>0</v>
      </c>
      <c r="C70" t="s">
        <v>1259</v>
      </c>
      <c r="D70" t="s">
        <v>1239</v>
      </c>
      <c r="E70" t="s">
        <v>1260</v>
      </c>
      <c r="F70" s="28">
        <v>1.6221064814814817E-2</v>
      </c>
      <c r="G70" t="s">
        <v>124</v>
      </c>
      <c r="H70">
        <f>COUNTIF(ValidTeams[],E70)</f>
        <v>0</v>
      </c>
    </row>
    <row r="71" spans="1:8" x14ac:dyDescent="0.25">
      <c r="A71">
        <v>4</v>
      </c>
      <c r="B71">
        <f t="shared" si="2"/>
        <v>17</v>
      </c>
      <c r="C71" t="s">
        <v>122</v>
      </c>
      <c r="D71" t="s">
        <v>123</v>
      </c>
      <c r="E71" t="s">
        <v>12</v>
      </c>
      <c r="F71" s="28">
        <v>1.6459490740740743E-2</v>
      </c>
      <c r="G71" t="s">
        <v>124</v>
      </c>
      <c r="H71">
        <f>COUNTIF(ValidTeams[],E71)</f>
        <v>1</v>
      </c>
    </row>
    <row r="72" spans="1:8" x14ac:dyDescent="0.25">
      <c r="A72">
        <v>5</v>
      </c>
      <c r="B72">
        <f t="shared" si="2"/>
        <v>0</v>
      </c>
      <c r="C72" t="s">
        <v>1261</v>
      </c>
      <c r="D72" t="s">
        <v>14</v>
      </c>
      <c r="E72"/>
      <c r="F72" s="28">
        <v>1.6974537037037038E-2</v>
      </c>
      <c r="G72" t="s">
        <v>124</v>
      </c>
      <c r="H72">
        <f>COUNTIF(ValidTeams[],E72)</f>
        <v>0</v>
      </c>
    </row>
    <row r="73" spans="1:8" x14ac:dyDescent="0.25">
      <c r="A73" s="1">
        <v>6</v>
      </c>
      <c r="B73" s="24">
        <f>IF(H73=1,MAX(21-A73,0),0)</f>
        <v>15</v>
      </c>
      <c r="C73" s="1" t="s">
        <v>125</v>
      </c>
      <c r="D73" s="1" t="s">
        <v>126</v>
      </c>
      <c r="E73" s="3" t="s">
        <v>18</v>
      </c>
      <c r="F73" s="32" t="s">
        <v>1262</v>
      </c>
      <c r="G73" s="1" t="s">
        <v>124</v>
      </c>
      <c r="H73" s="24">
        <f>COUNTIF(ValidTeams[],E73)</f>
        <v>1</v>
      </c>
    </row>
    <row r="74" spans="1:8" x14ac:dyDescent="0.25">
      <c r="A74" s="1">
        <v>7</v>
      </c>
      <c r="B74" s="24">
        <f>IF(H74=1,MAX(21-A74,0),0)</f>
        <v>14</v>
      </c>
      <c r="C74" s="1" t="s">
        <v>1263</v>
      </c>
      <c r="D74" s="1" t="s">
        <v>23</v>
      </c>
      <c r="E74" s="3" t="s">
        <v>506</v>
      </c>
      <c r="F74" s="32" t="s">
        <v>1264</v>
      </c>
      <c r="G74" s="1" t="s">
        <v>124</v>
      </c>
      <c r="H74" s="24">
        <f>COUNTIF(ValidTeams[],E74)</f>
        <v>1</v>
      </c>
    </row>
    <row r="75" spans="1:8" x14ac:dyDescent="0.25">
      <c r="A75" s="1">
        <v>8</v>
      </c>
      <c r="B75" s="24">
        <f>IF(H75=1,MAX(21-A75,0),0)</f>
        <v>0</v>
      </c>
      <c r="C75" s="1" t="s">
        <v>127</v>
      </c>
      <c r="D75" s="1" t="s">
        <v>128</v>
      </c>
      <c r="E75" s="3" t="s">
        <v>129</v>
      </c>
      <c r="F75" s="32"/>
      <c r="G75" s="1" t="s">
        <v>124</v>
      </c>
      <c r="H75" s="24">
        <f>COUNTIF(ValidTeams[],E75)</f>
        <v>0</v>
      </c>
    </row>
    <row r="76" spans="1:8" x14ac:dyDescent="0.25">
      <c r="A76" s="6"/>
      <c r="B76" s="34"/>
      <c r="C76" s="6"/>
      <c r="D76" s="6"/>
      <c r="E76" s="21"/>
      <c r="F76" s="33"/>
      <c r="G76" s="6"/>
      <c r="H76" s="34"/>
    </row>
    <row r="77" spans="1:8" x14ac:dyDescent="0.25">
      <c r="A77" s="4" t="s">
        <v>0</v>
      </c>
      <c r="B77" s="4" t="s">
        <v>73</v>
      </c>
      <c r="C77" s="4" t="s">
        <v>1</v>
      </c>
      <c r="D77" s="4" t="s">
        <v>2</v>
      </c>
      <c r="E77" s="5" t="s">
        <v>3</v>
      </c>
      <c r="F77" s="31" t="s">
        <v>4</v>
      </c>
      <c r="G77" s="4" t="s">
        <v>5</v>
      </c>
      <c r="H77" s="4" t="s">
        <v>72</v>
      </c>
    </row>
    <row r="78" spans="1:8" x14ac:dyDescent="0.25">
      <c r="A78" s="1">
        <v>1</v>
      </c>
      <c r="B78">
        <f t="shared" ref="B78:B83" si="3">IF(H78=1,MAX(21-A78,0),0)</f>
        <v>20</v>
      </c>
      <c r="C78" s="1" t="s">
        <v>1265</v>
      </c>
      <c r="D78" s="1" t="s">
        <v>194</v>
      </c>
      <c r="E78" s="3" t="s">
        <v>1236</v>
      </c>
      <c r="F78" s="32" t="s">
        <v>1266</v>
      </c>
      <c r="G78" s="1" t="s">
        <v>135</v>
      </c>
      <c r="H78" s="6">
        <f>COUNTIF(ValidTeams[],E78)</f>
        <v>1</v>
      </c>
    </row>
    <row r="79" spans="1:8" x14ac:dyDescent="0.25">
      <c r="A79" s="1">
        <v>2</v>
      </c>
      <c r="B79">
        <f t="shared" si="3"/>
        <v>19</v>
      </c>
      <c r="C79" s="1" t="s">
        <v>807</v>
      </c>
      <c r="D79" s="1" t="s">
        <v>595</v>
      </c>
      <c r="E79" s="3" t="s">
        <v>808</v>
      </c>
      <c r="F79" s="32" t="s">
        <v>1267</v>
      </c>
      <c r="G79" s="1" t="s">
        <v>135</v>
      </c>
      <c r="H79" s="6">
        <f>COUNTIF(ValidTeams[],E79)</f>
        <v>1</v>
      </c>
    </row>
    <row r="80" spans="1:8" x14ac:dyDescent="0.25">
      <c r="A80" s="1">
        <v>3</v>
      </c>
      <c r="B80">
        <f t="shared" si="3"/>
        <v>18</v>
      </c>
      <c r="C80" s="1" t="s">
        <v>1268</v>
      </c>
      <c r="D80" s="1" t="s">
        <v>1269</v>
      </c>
      <c r="E80" s="3" t="s">
        <v>448</v>
      </c>
      <c r="F80" s="32" t="s">
        <v>1270</v>
      </c>
      <c r="G80" s="1" t="s">
        <v>135</v>
      </c>
      <c r="H80" s="6">
        <f>COUNTIF(ValidTeams[],E80)</f>
        <v>1</v>
      </c>
    </row>
    <row r="81" spans="1:8" x14ac:dyDescent="0.25">
      <c r="A81" s="1">
        <v>4</v>
      </c>
      <c r="B81">
        <f t="shared" si="3"/>
        <v>17</v>
      </c>
      <c r="C81" s="1" t="s">
        <v>117</v>
      </c>
      <c r="D81" s="1" t="s">
        <v>139</v>
      </c>
      <c r="E81" s="3" t="s">
        <v>140</v>
      </c>
      <c r="F81" s="32" t="s">
        <v>1271</v>
      </c>
      <c r="G81" s="1" t="s">
        <v>135</v>
      </c>
      <c r="H81" s="6">
        <f>COUNTIF(ValidTeams[],E81)</f>
        <v>1</v>
      </c>
    </row>
    <row r="82" spans="1:8" x14ac:dyDescent="0.25">
      <c r="A82">
        <v>5</v>
      </c>
      <c r="B82">
        <f t="shared" si="3"/>
        <v>16</v>
      </c>
      <c r="C82" t="s">
        <v>169</v>
      </c>
      <c r="D82" t="s">
        <v>170</v>
      </c>
      <c r="E82" t="s">
        <v>171</v>
      </c>
      <c r="F82" s="28">
        <v>1.9913194444444445E-2</v>
      </c>
      <c r="G82" t="s">
        <v>135</v>
      </c>
      <c r="H82">
        <f>COUNTIF(ValidTeams[],E82)</f>
        <v>1</v>
      </c>
    </row>
    <row r="83" spans="1:8" x14ac:dyDescent="0.25">
      <c r="A83">
        <v>6</v>
      </c>
      <c r="B83">
        <f t="shared" si="3"/>
        <v>0</v>
      </c>
      <c r="E83"/>
      <c r="F83" s="28"/>
      <c r="G83" t="s">
        <v>135</v>
      </c>
      <c r="H83">
        <f>COUNTIF(ValidTeams[],E83)</f>
        <v>0</v>
      </c>
    </row>
    <row r="84" spans="1:8" x14ac:dyDescent="0.25">
      <c r="A84" s="1">
        <v>7</v>
      </c>
      <c r="B84" s="24">
        <f>IF(H84=1,MAX(21-A84,0),0)</f>
        <v>0</v>
      </c>
      <c r="C84" s="1"/>
      <c r="D84" s="1"/>
      <c r="E84" s="3"/>
      <c r="F84" s="32"/>
      <c r="G84" s="1" t="s">
        <v>135</v>
      </c>
      <c r="H84" s="24">
        <f>COUNTIF(ValidTeams[],E84)</f>
        <v>0</v>
      </c>
    </row>
    <row r="85" spans="1:8" x14ac:dyDescent="0.25">
      <c r="A85" s="1">
        <v>8</v>
      </c>
      <c r="B85" s="24">
        <f>IF(H85=1,MAX(21-A85,0),0)</f>
        <v>0</v>
      </c>
      <c r="C85" s="1"/>
      <c r="D85" s="1"/>
      <c r="E85" s="3"/>
      <c r="F85" s="32"/>
      <c r="G85" s="1" t="s">
        <v>135</v>
      </c>
      <c r="H85" s="24">
        <f>COUNTIF(ValidTeams[],E85)</f>
        <v>0</v>
      </c>
    </row>
    <row r="86" spans="1:8" x14ac:dyDescent="0.25">
      <c r="A86" s="1">
        <v>9</v>
      </c>
      <c r="B86" s="24">
        <f>IF(H86=1,MAX(21-A86,0),0)</f>
        <v>0</v>
      </c>
      <c r="C86" s="1"/>
      <c r="D86" s="1"/>
      <c r="E86" s="3"/>
      <c r="F86" s="32"/>
      <c r="G86" s="1" t="s">
        <v>135</v>
      </c>
      <c r="H86" s="24">
        <f>COUNTIF(ValidTeams[],E86)</f>
        <v>0</v>
      </c>
    </row>
    <row r="87" spans="1:8" x14ac:dyDescent="0.25">
      <c r="A87" s="1">
        <v>10</v>
      </c>
      <c r="B87" s="24">
        <f>IF(H87=1,MAX(21-A87,0),0)</f>
        <v>0</v>
      </c>
      <c r="C87" s="1"/>
      <c r="D87" s="1"/>
      <c r="E87" s="3"/>
      <c r="F87" s="32"/>
      <c r="G87" s="1" t="s">
        <v>135</v>
      </c>
      <c r="H87" s="24">
        <f>COUNTIF(ValidTeams[],E87)</f>
        <v>0</v>
      </c>
    </row>
    <row r="88" spans="1:8" x14ac:dyDescent="0.25">
      <c r="A88" s="6"/>
      <c r="B88" s="34"/>
      <c r="C88" s="6"/>
      <c r="D88" s="6"/>
      <c r="E88" s="21"/>
      <c r="F88" s="33"/>
      <c r="G88" s="6"/>
      <c r="H88" s="34"/>
    </row>
    <row r="89" spans="1:8" x14ac:dyDescent="0.25">
      <c r="A89" s="4" t="s">
        <v>0</v>
      </c>
      <c r="B89" s="4" t="s">
        <v>73</v>
      </c>
      <c r="C89" s="4" t="s">
        <v>1</v>
      </c>
      <c r="D89" s="4" t="s">
        <v>2</v>
      </c>
      <c r="E89" s="5" t="s">
        <v>3</v>
      </c>
      <c r="F89" s="31" t="s">
        <v>4</v>
      </c>
      <c r="G89" s="4" t="s">
        <v>5</v>
      </c>
      <c r="H89" s="4" t="s">
        <v>72</v>
      </c>
    </row>
    <row r="90" spans="1:8" x14ac:dyDescent="0.25">
      <c r="A90" s="1">
        <v>1</v>
      </c>
      <c r="B90">
        <f t="shared" ref="B90:B102" si="4">IF(H90=1,MAX(21-A90,0),0)</f>
        <v>20</v>
      </c>
      <c r="C90" s="1" t="s">
        <v>179</v>
      </c>
      <c r="D90" s="1" t="s">
        <v>24</v>
      </c>
      <c r="E90" s="3" t="s">
        <v>100</v>
      </c>
      <c r="F90" s="32" t="s">
        <v>901</v>
      </c>
      <c r="G90" s="1" t="s">
        <v>178</v>
      </c>
      <c r="H90" s="6">
        <f>COUNTIF(ValidTeams[],E90)</f>
        <v>1</v>
      </c>
    </row>
    <row r="91" spans="1:8" x14ac:dyDescent="0.25">
      <c r="A91" s="1">
        <v>2</v>
      </c>
      <c r="B91">
        <f t="shared" si="4"/>
        <v>19</v>
      </c>
      <c r="C91" s="1" t="s">
        <v>66</v>
      </c>
      <c r="D91" s="1" t="s">
        <v>176</v>
      </c>
      <c r="E91" s="3" t="s">
        <v>442</v>
      </c>
      <c r="F91" s="32" t="s">
        <v>1014</v>
      </c>
      <c r="G91" s="1" t="s">
        <v>178</v>
      </c>
      <c r="H91" s="6">
        <f>COUNTIF(ValidTeams[],E91)</f>
        <v>1</v>
      </c>
    </row>
    <row r="92" spans="1:8" x14ac:dyDescent="0.25">
      <c r="A92" s="1">
        <v>3</v>
      </c>
      <c r="B92">
        <f t="shared" si="4"/>
        <v>18</v>
      </c>
      <c r="C92" s="1" t="s">
        <v>183</v>
      </c>
      <c r="D92" s="1" t="s">
        <v>184</v>
      </c>
      <c r="E92" s="3" t="s">
        <v>100</v>
      </c>
      <c r="F92" s="32" t="s">
        <v>1273</v>
      </c>
      <c r="G92" s="1" t="s">
        <v>178</v>
      </c>
      <c r="H92" s="6">
        <f>COUNTIF(ValidTeams[],E92)</f>
        <v>1</v>
      </c>
    </row>
    <row r="93" spans="1:8" x14ac:dyDescent="0.25">
      <c r="A93" s="1">
        <v>4</v>
      </c>
      <c r="B93">
        <f t="shared" si="4"/>
        <v>17</v>
      </c>
      <c r="C93" s="1" t="s">
        <v>186</v>
      </c>
      <c r="D93" s="1" t="s">
        <v>187</v>
      </c>
      <c r="E93" s="3" t="s">
        <v>8</v>
      </c>
      <c r="F93" s="32" t="s">
        <v>1274</v>
      </c>
      <c r="G93" s="1" t="s">
        <v>178</v>
      </c>
      <c r="H93" s="6">
        <f>COUNTIF(ValidTeams[],E93)</f>
        <v>1</v>
      </c>
    </row>
    <row r="94" spans="1:8" x14ac:dyDescent="0.25">
      <c r="A94" s="1">
        <v>5</v>
      </c>
      <c r="B94">
        <f t="shared" si="4"/>
        <v>16</v>
      </c>
      <c r="C94" s="1" t="s">
        <v>816</v>
      </c>
      <c r="D94" s="1" t="s">
        <v>817</v>
      </c>
      <c r="E94" s="3" t="s">
        <v>18</v>
      </c>
      <c r="F94" s="32" t="s">
        <v>1275</v>
      </c>
      <c r="G94" s="1" t="s">
        <v>178</v>
      </c>
      <c r="H94" s="6">
        <f>COUNTIF(ValidTeams[],E94)</f>
        <v>1</v>
      </c>
    </row>
    <row r="95" spans="1:8" x14ac:dyDescent="0.25">
      <c r="A95" s="1">
        <v>6</v>
      </c>
      <c r="B95">
        <f t="shared" si="4"/>
        <v>15</v>
      </c>
      <c r="C95" s="1" t="s">
        <v>181</v>
      </c>
      <c r="D95" s="1" t="s">
        <v>132</v>
      </c>
      <c r="E95" s="3" t="s">
        <v>34</v>
      </c>
      <c r="F95" s="32" t="s">
        <v>1211</v>
      </c>
      <c r="G95" s="1" t="s">
        <v>178</v>
      </c>
      <c r="H95" s="6">
        <f>COUNTIF(ValidTeams[],E95)</f>
        <v>1</v>
      </c>
    </row>
    <row r="96" spans="1:8" x14ac:dyDescent="0.25">
      <c r="A96" s="1">
        <v>7</v>
      </c>
      <c r="B96">
        <f t="shared" si="4"/>
        <v>0</v>
      </c>
      <c r="C96" s="1" t="s">
        <v>198</v>
      </c>
      <c r="D96" s="1" t="s">
        <v>199</v>
      </c>
      <c r="E96" s="3" t="s">
        <v>200</v>
      </c>
      <c r="F96" s="32" t="s">
        <v>1276</v>
      </c>
      <c r="G96" s="1" t="s">
        <v>178</v>
      </c>
      <c r="H96" s="6">
        <f>COUNTIF(ValidTeams[],E96)</f>
        <v>0</v>
      </c>
    </row>
    <row r="97" spans="1:8" x14ac:dyDescent="0.25">
      <c r="A97" s="1">
        <v>8</v>
      </c>
      <c r="B97">
        <f t="shared" si="4"/>
        <v>13</v>
      </c>
      <c r="C97" s="1" t="s">
        <v>550</v>
      </c>
      <c r="D97" s="1" t="s">
        <v>601</v>
      </c>
      <c r="E97" s="3" t="s">
        <v>691</v>
      </c>
      <c r="F97" s="32" t="s">
        <v>1277</v>
      </c>
      <c r="G97" s="1" t="s">
        <v>178</v>
      </c>
      <c r="H97" s="6">
        <f>COUNTIF(ValidTeams[],E97)</f>
        <v>1</v>
      </c>
    </row>
    <row r="98" spans="1:8" x14ac:dyDescent="0.25">
      <c r="A98" s="1">
        <v>9</v>
      </c>
      <c r="B98">
        <f t="shared" si="4"/>
        <v>0</v>
      </c>
      <c r="C98" s="1" t="s">
        <v>205</v>
      </c>
      <c r="D98" s="1" t="s">
        <v>206</v>
      </c>
      <c r="E98" s="3" t="s">
        <v>207</v>
      </c>
      <c r="F98" s="32" t="s">
        <v>1278</v>
      </c>
      <c r="G98" s="1" t="s">
        <v>178</v>
      </c>
      <c r="H98" s="6">
        <f>COUNTIF(ValidTeams[],E98)</f>
        <v>0</v>
      </c>
    </row>
    <row r="99" spans="1:8" x14ac:dyDescent="0.25">
      <c r="A99" s="1">
        <v>10</v>
      </c>
      <c r="B99">
        <f t="shared" si="4"/>
        <v>11</v>
      </c>
      <c r="C99" s="1" t="s">
        <v>598</v>
      </c>
      <c r="D99" s="1" t="s">
        <v>599</v>
      </c>
      <c r="E99" s="3" t="s">
        <v>345</v>
      </c>
      <c r="F99" s="32" t="s">
        <v>1279</v>
      </c>
      <c r="G99" s="1" t="s">
        <v>178</v>
      </c>
      <c r="H99" s="6">
        <f>COUNTIF(ValidTeams[],E99)</f>
        <v>1</v>
      </c>
    </row>
    <row r="100" spans="1:8" x14ac:dyDescent="0.25">
      <c r="A100" s="1">
        <v>11</v>
      </c>
      <c r="B100">
        <f t="shared" si="4"/>
        <v>10</v>
      </c>
      <c r="C100" s="1" t="s">
        <v>196</v>
      </c>
      <c r="D100" s="1" t="s">
        <v>128</v>
      </c>
      <c r="E100" s="3" t="s">
        <v>38</v>
      </c>
      <c r="F100" s="32" t="s">
        <v>1280</v>
      </c>
      <c r="G100" s="1" t="s">
        <v>178</v>
      </c>
      <c r="H100" s="6">
        <f>COUNTIF(ValidTeams[],E100)</f>
        <v>1</v>
      </c>
    </row>
    <row r="101" spans="1:8" x14ac:dyDescent="0.25">
      <c r="A101" s="1">
        <v>12</v>
      </c>
      <c r="B101">
        <f t="shared" si="4"/>
        <v>9</v>
      </c>
      <c r="C101" s="1" t="s">
        <v>826</v>
      </c>
      <c r="D101" s="1" t="s">
        <v>257</v>
      </c>
      <c r="E101" s="3" t="s">
        <v>389</v>
      </c>
      <c r="F101" s="32" t="s">
        <v>1281</v>
      </c>
      <c r="G101" s="1" t="s">
        <v>178</v>
      </c>
      <c r="H101" s="6">
        <f>COUNTIF(ValidTeams[],E101)</f>
        <v>1</v>
      </c>
    </row>
    <row r="102" spans="1:8" x14ac:dyDescent="0.25">
      <c r="A102" s="1">
        <v>13</v>
      </c>
      <c r="B102">
        <f t="shared" si="4"/>
        <v>8</v>
      </c>
      <c r="C102" s="1" t="s">
        <v>89</v>
      </c>
      <c r="D102" s="1" t="s">
        <v>310</v>
      </c>
      <c r="E102" s="3" t="s">
        <v>91</v>
      </c>
      <c r="F102" s="32" t="s">
        <v>1282</v>
      </c>
      <c r="G102" s="1" t="s">
        <v>178</v>
      </c>
      <c r="H102" s="6">
        <f>COUNTIF(ValidTeams[],E102)</f>
        <v>1</v>
      </c>
    </row>
    <row r="103" spans="1:8" x14ac:dyDescent="0.25">
      <c r="F103" s="29"/>
    </row>
    <row r="104" spans="1:8" x14ac:dyDescent="0.25">
      <c r="A104" s="4" t="s">
        <v>0</v>
      </c>
      <c r="B104" s="4" t="s">
        <v>73</v>
      </c>
      <c r="C104" s="4" t="s">
        <v>1</v>
      </c>
      <c r="D104" s="4" t="s">
        <v>2</v>
      </c>
      <c r="E104" s="5" t="s">
        <v>3</v>
      </c>
      <c r="F104" s="31" t="s">
        <v>4</v>
      </c>
      <c r="G104" s="4" t="s">
        <v>5</v>
      </c>
      <c r="H104" s="4" t="s">
        <v>72</v>
      </c>
    </row>
    <row r="105" spans="1:8" x14ac:dyDescent="0.25">
      <c r="A105" s="1">
        <v>1</v>
      </c>
      <c r="B105">
        <f t="shared" ref="B105:B113" si="5">IF(H105=1,MAX(21-A105,0),0)</f>
        <v>20</v>
      </c>
      <c r="C105" s="1" t="s">
        <v>828</v>
      </c>
      <c r="D105" s="1" t="s">
        <v>829</v>
      </c>
      <c r="E105" s="3" t="s">
        <v>18</v>
      </c>
      <c r="F105" s="32" t="s">
        <v>1283</v>
      </c>
      <c r="G105" s="1" t="s">
        <v>217</v>
      </c>
      <c r="H105" s="6">
        <f>COUNTIF(ValidTeams[],E105)</f>
        <v>1</v>
      </c>
    </row>
    <row r="106" spans="1:8" x14ac:dyDescent="0.25">
      <c r="A106" s="1">
        <v>2</v>
      </c>
      <c r="B106">
        <f t="shared" si="5"/>
        <v>19</v>
      </c>
      <c r="C106" s="1" t="s">
        <v>220</v>
      </c>
      <c r="D106" s="1" t="s">
        <v>221</v>
      </c>
      <c r="E106" s="3" t="s">
        <v>222</v>
      </c>
      <c r="F106" s="32" t="s">
        <v>1272</v>
      </c>
      <c r="G106" s="1" t="s">
        <v>217</v>
      </c>
      <c r="H106" s="6">
        <f>COUNTIF(ValidTeams[],E106)</f>
        <v>1</v>
      </c>
    </row>
    <row r="107" spans="1:8" x14ac:dyDescent="0.25">
      <c r="A107" s="1">
        <v>3</v>
      </c>
      <c r="B107">
        <f t="shared" si="5"/>
        <v>18</v>
      </c>
      <c r="C107" s="1" t="s">
        <v>218</v>
      </c>
      <c r="D107" s="1" t="s">
        <v>114</v>
      </c>
      <c r="E107" s="3" t="s">
        <v>18</v>
      </c>
      <c r="F107" s="32" t="s">
        <v>1284</v>
      </c>
      <c r="G107" s="1" t="s">
        <v>217</v>
      </c>
      <c r="H107" s="6">
        <f>COUNTIF(ValidTeams[],E107)</f>
        <v>1</v>
      </c>
    </row>
    <row r="108" spans="1:8" x14ac:dyDescent="0.25">
      <c r="A108" s="1">
        <v>4</v>
      </c>
      <c r="B108">
        <f t="shared" si="5"/>
        <v>17</v>
      </c>
      <c r="C108" s="1" t="s">
        <v>214</v>
      </c>
      <c r="D108" s="1" t="s">
        <v>215</v>
      </c>
      <c r="E108" s="3" t="s">
        <v>18</v>
      </c>
      <c r="F108" s="32" t="s">
        <v>1285</v>
      </c>
      <c r="G108" s="1" t="s">
        <v>217</v>
      </c>
      <c r="H108" s="6">
        <f>COUNTIF(ValidTeams[],E108)</f>
        <v>1</v>
      </c>
    </row>
    <row r="109" spans="1:8" x14ac:dyDescent="0.25">
      <c r="A109" s="1">
        <v>5</v>
      </c>
      <c r="B109">
        <f t="shared" si="5"/>
        <v>16</v>
      </c>
      <c r="C109" s="1" t="s">
        <v>224</v>
      </c>
      <c r="D109" s="1" t="s">
        <v>225</v>
      </c>
      <c r="E109" s="3" t="s">
        <v>226</v>
      </c>
      <c r="F109" s="32" t="s">
        <v>1286</v>
      </c>
      <c r="G109" s="1" t="s">
        <v>217</v>
      </c>
      <c r="H109" s="6">
        <f>COUNTIF(ValidTeams[],E109)</f>
        <v>1</v>
      </c>
    </row>
    <row r="110" spans="1:8" x14ac:dyDescent="0.25">
      <c r="A110" s="1">
        <v>6</v>
      </c>
      <c r="B110">
        <f t="shared" si="5"/>
        <v>15</v>
      </c>
      <c r="C110" s="1" t="s">
        <v>839</v>
      </c>
      <c r="D110" s="1" t="s">
        <v>174</v>
      </c>
      <c r="E110" s="3" t="s">
        <v>251</v>
      </c>
      <c r="F110" s="32" t="s">
        <v>1287</v>
      </c>
      <c r="G110" s="1" t="s">
        <v>217</v>
      </c>
      <c r="H110" s="6">
        <f>COUNTIF(ValidTeams[],E110)</f>
        <v>1</v>
      </c>
    </row>
    <row r="111" spans="1:8" x14ac:dyDescent="0.25">
      <c r="A111" s="1">
        <v>7</v>
      </c>
      <c r="B111">
        <f t="shared" si="5"/>
        <v>14</v>
      </c>
      <c r="C111" s="1" t="s">
        <v>228</v>
      </c>
      <c r="D111" s="1" t="s">
        <v>229</v>
      </c>
      <c r="E111" s="3" t="s">
        <v>230</v>
      </c>
      <c r="F111" s="32" t="s">
        <v>1257</v>
      </c>
      <c r="G111" s="1" t="s">
        <v>217</v>
      </c>
      <c r="H111" s="6">
        <f>COUNTIF(ValidTeams[],E111)</f>
        <v>1</v>
      </c>
    </row>
    <row r="112" spans="1:8" x14ac:dyDescent="0.25">
      <c r="A112" s="1">
        <v>8</v>
      </c>
      <c r="B112">
        <f t="shared" si="5"/>
        <v>13</v>
      </c>
      <c r="C112" s="1" t="s">
        <v>842</v>
      </c>
      <c r="D112" s="1" t="s">
        <v>225</v>
      </c>
      <c r="E112" s="3" t="s">
        <v>617</v>
      </c>
      <c r="F112" s="32" t="s">
        <v>1288</v>
      </c>
      <c r="G112" s="1" t="s">
        <v>217</v>
      </c>
      <c r="H112" s="6">
        <f>COUNTIF(ValidTeams[],E112)</f>
        <v>1</v>
      </c>
    </row>
    <row r="113" spans="1:8" x14ac:dyDescent="0.25">
      <c r="A113" s="1">
        <v>9</v>
      </c>
      <c r="B113">
        <f t="shared" si="5"/>
        <v>12</v>
      </c>
      <c r="C113" s="1" t="s">
        <v>844</v>
      </c>
      <c r="D113" s="1" t="s">
        <v>696</v>
      </c>
      <c r="E113" s="3" t="s">
        <v>18</v>
      </c>
      <c r="F113" s="32" t="s">
        <v>1289</v>
      </c>
      <c r="G113" s="1" t="s">
        <v>217</v>
      </c>
      <c r="H113" s="6">
        <f>COUNTIF(ValidTeams[],E113)</f>
        <v>1</v>
      </c>
    </row>
    <row r="114" spans="1:8" x14ac:dyDescent="0.25">
      <c r="A114" s="1">
        <v>10</v>
      </c>
      <c r="B114" s="24">
        <f>IF(H114=1,MAX(21-A114,0),0)</f>
        <v>0</v>
      </c>
      <c r="C114" s="1" t="s">
        <v>1290</v>
      </c>
      <c r="D114" s="1" t="s">
        <v>1235</v>
      </c>
      <c r="E114" s="3" t="s">
        <v>1291</v>
      </c>
      <c r="F114" s="32" t="s">
        <v>1292</v>
      </c>
      <c r="G114" s="1" t="s">
        <v>217</v>
      </c>
      <c r="H114" s="24">
        <f>COUNTIF(ValidTeams[],E114)</f>
        <v>0</v>
      </c>
    </row>
    <row r="115" spans="1:8" x14ac:dyDescent="0.25">
      <c r="A115" s="1">
        <v>11</v>
      </c>
      <c r="B115" s="24">
        <f>IF(H115=1,MAX(21-A115,0),0)</f>
        <v>10</v>
      </c>
      <c r="C115" s="1" t="s">
        <v>236</v>
      </c>
      <c r="D115" s="1" t="s">
        <v>237</v>
      </c>
      <c r="E115" s="3" t="s">
        <v>238</v>
      </c>
      <c r="F115" s="32" t="s">
        <v>1293</v>
      </c>
      <c r="G115" s="1" t="s">
        <v>217</v>
      </c>
      <c r="H115" s="24">
        <f>COUNTIF(ValidTeams[],E115)</f>
        <v>1</v>
      </c>
    </row>
    <row r="116" spans="1:8" x14ac:dyDescent="0.25">
      <c r="A116" s="1">
        <v>12</v>
      </c>
      <c r="B116" s="24">
        <f>IF(H116=1,MAX(21-A116,0),0)</f>
        <v>9</v>
      </c>
      <c r="C116" s="1" t="s">
        <v>243</v>
      </c>
      <c r="D116" s="1" t="s">
        <v>244</v>
      </c>
      <c r="E116" s="3" t="s">
        <v>12</v>
      </c>
      <c r="F116" s="32" t="s">
        <v>1294</v>
      </c>
      <c r="G116" s="1" t="s">
        <v>217</v>
      </c>
      <c r="H116" s="24">
        <f>COUNTIF(ValidTeams[],E116)</f>
        <v>1</v>
      </c>
    </row>
    <row r="117" spans="1:8" x14ac:dyDescent="0.25">
      <c r="A117" s="1">
        <v>13</v>
      </c>
      <c r="B117" s="24">
        <f>IF(H117=1,MAX(21-A117,0),0)</f>
        <v>0</v>
      </c>
      <c r="C117" s="1"/>
      <c r="D117" s="1"/>
      <c r="E117" s="3"/>
      <c r="F117" s="32"/>
      <c r="G117" s="1" t="s">
        <v>217</v>
      </c>
      <c r="H117" s="24">
        <f>COUNTIF(ValidTeams[],E117)</f>
        <v>0</v>
      </c>
    </row>
    <row r="118" spans="1:8" x14ac:dyDescent="0.25">
      <c r="A118" s="6"/>
      <c r="B118" s="34"/>
      <c r="C118" s="6"/>
      <c r="D118" s="6"/>
      <c r="E118" s="21"/>
      <c r="F118" s="33"/>
      <c r="G118" s="6"/>
      <c r="H118" s="34"/>
    </row>
    <row r="119" spans="1:8" x14ac:dyDescent="0.25">
      <c r="A119" s="4" t="s">
        <v>0</v>
      </c>
      <c r="B119" s="4" t="s">
        <v>73</v>
      </c>
      <c r="C119" s="4" t="s">
        <v>1</v>
      </c>
      <c r="D119" s="4" t="s">
        <v>2</v>
      </c>
      <c r="E119" s="5" t="s">
        <v>3</v>
      </c>
      <c r="F119" s="31" t="s">
        <v>4</v>
      </c>
      <c r="G119" s="4" t="s">
        <v>5</v>
      </c>
      <c r="H119" s="4" t="s">
        <v>72</v>
      </c>
    </row>
    <row r="120" spans="1:8" x14ac:dyDescent="0.25">
      <c r="A120" s="1">
        <v>1</v>
      </c>
      <c r="B120">
        <f t="shared" ref="B120:B125" si="6">IF(H120=1,MAX(21-A120,0),0)</f>
        <v>0</v>
      </c>
      <c r="C120" s="1" t="s">
        <v>850</v>
      </c>
      <c r="D120" s="1" t="s">
        <v>851</v>
      </c>
      <c r="E120" s="3" t="s">
        <v>852</v>
      </c>
      <c r="F120" s="32" t="s">
        <v>1295</v>
      </c>
      <c r="G120" s="1" t="s">
        <v>248</v>
      </c>
      <c r="H120" s="6">
        <f>COUNTIF(ValidTeams[],E120)</f>
        <v>0</v>
      </c>
    </row>
    <row r="121" spans="1:8" x14ac:dyDescent="0.25">
      <c r="A121" s="1">
        <v>2</v>
      </c>
      <c r="B121">
        <f t="shared" si="6"/>
        <v>19</v>
      </c>
      <c r="C121" s="1" t="s">
        <v>246</v>
      </c>
      <c r="D121" s="1" t="s">
        <v>20</v>
      </c>
      <c r="E121" s="3" t="s">
        <v>44</v>
      </c>
      <c r="F121" s="32" t="s">
        <v>1296</v>
      </c>
      <c r="G121" s="1" t="s">
        <v>248</v>
      </c>
      <c r="H121" s="6">
        <f>COUNTIF(ValidTeams[],E121)</f>
        <v>1</v>
      </c>
    </row>
    <row r="122" spans="1:8" x14ac:dyDescent="0.25">
      <c r="A122" s="1">
        <v>3</v>
      </c>
      <c r="B122">
        <f t="shared" si="6"/>
        <v>18</v>
      </c>
      <c r="C122" s="1" t="s">
        <v>249</v>
      </c>
      <c r="D122" s="1" t="s">
        <v>250</v>
      </c>
      <c r="E122" s="3" t="s">
        <v>617</v>
      </c>
      <c r="F122" s="32" t="s">
        <v>1297</v>
      </c>
      <c r="G122" s="1" t="s">
        <v>248</v>
      </c>
      <c r="H122" s="6">
        <f>COUNTIF(ValidTeams[],E122)</f>
        <v>1</v>
      </c>
    </row>
    <row r="123" spans="1:8" x14ac:dyDescent="0.25">
      <c r="A123">
        <v>4</v>
      </c>
      <c r="B123">
        <f t="shared" si="6"/>
        <v>17</v>
      </c>
      <c r="C123" t="s">
        <v>113</v>
      </c>
      <c r="D123" t="s">
        <v>253</v>
      </c>
      <c r="E123" t="s">
        <v>254</v>
      </c>
      <c r="F123" s="28">
        <v>1.8358796296296297E-2</v>
      </c>
      <c r="G123" t="s">
        <v>248</v>
      </c>
      <c r="H123">
        <f>COUNTIF(ValidTeams[],E123)</f>
        <v>1</v>
      </c>
    </row>
    <row r="124" spans="1:8" x14ac:dyDescent="0.25">
      <c r="A124">
        <v>5</v>
      </c>
      <c r="B124">
        <f t="shared" si="6"/>
        <v>0</v>
      </c>
      <c r="C124" t="s">
        <v>1298</v>
      </c>
      <c r="D124" t="s">
        <v>250</v>
      </c>
      <c r="E124" t="s">
        <v>1299</v>
      </c>
      <c r="F124" s="28">
        <v>1.8413194444444444E-2</v>
      </c>
      <c r="G124" t="s">
        <v>248</v>
      </c>
      <c r="H124">
        <f>COUNTIF(ValidTeams[],E124)</f>
        <v>0</v>
      </c>
    </row>
    <row r="125" spans="1:8" x14ac:dyDescent="0.25">
      <c r="A125">
        <v>6</v>
      </c>
      <c r="B125">
        <f t="shared" si="6"/>
        <v>0</v>
      </c>
      <c r="C125" t="s">
        <v>1300</v>
      </c>
      <c r="D125" t="s">
        <v>861</v>
      </c>
      <c r="E125" t="s">
        <v>862</v>
      </c>
      <c r="F125" s="28">
        <v>1.9472222222222221E-2</v>
      </c>
      <c r="G125" t="s">
        <v>248</v>
      </c>
      <c r="H125">
        <f>COUNTIF(ValidTeams[],E125)</f>
        <v>0</v>
      </c>
    </row>
    <row r="126" spans="1:8" x14ac:dyDescent="0.25">
      <c r="A126" s="1">
        <v>7</v>
      </c>
      <c r="B126" s="24">
        <f>IF(H126=1,MAX(21-A126,0),0)</f>
        <v>14</v>
      </c>
      <c r="C126" s="1" t="s">
        <v>256</v>
      </c>
      <c r="D126" s="1" t="s">
        <v>257</v>
      </c>
      <c r="E126" s="3" t="s">
        <v>238</v>
      </c>
      <c r="F126" s="32" t="s">
        <v>1301</v>
      </c>
      <c r="G126" s="1" t="s">
        <v>248</v>
      </c>
      <c r="H126" s="24">
        <f>COUNTIF(ValidTeams[],E126)</f>
        <v>1</v>
      </c>
    </row>
    <row r="127" spans="1:8" x14ac:dyDescent="0.25">
      <c r="A127" s="1">
        <v>8</v>
      </c>
      <c r="B127" s="24">
        <f>IF(H127=1,MAX(21-A127,0),0)</f>
        <v>0</v>
      </c>
      <c r="C127" s="1" t="s">
        <v>1302</v>
      </c>
      <c r="D127" s="1" t="s">
        <v>1303</v>
      </c>
      <c r="E127" s="3"/>
      <c r="F127" s="32" t="s">
        <v>1304</v>
      </c>
      <c r="G127" s="1"/>
      <c r="H127" s="24">
        <f>COUNTIF(ValidTeams[],E127)</f>
        <v>0</v>
      </c>
    </row>
    <row r="128" spans="1:8" x14ac:dyDescent="0.25">
      <c r="A128" s="1">
        <v>9</v>
      </c>
      <c r="B128" s="24">
        <f>IF(H128=1,MAX(21-A128,0),0)</f>
        <v>0</v>
      </c>
      <c r="C128" s="1" t="s">
        <v>1305</v>
      </c>
      <c r="D128" s="1" t="s">
        <v>1306</v>
      </c>
      <c r="E128" s="3"/>
      <c r="F128" s="32" t="s">
        <v>1307</v>
      </c>
      <c r="G128" s="1"/>
      <c r="H128" s="24">
        <f>COUNTIF(ValidTeams[],E128)</f>
        <v>0</v>
      </c>
    </row>
    <row r="129" spans="1:8" x14ac:dyDescent="0.25">
      <c r="A129" s="6"/>
      <c r="B129" s="34"/>
      <c r="C129" s="6"/>
      <c r="D129" s="6"/>
      <c r="E129" s="21"/>
      <c r="F129" s="33"/>
      <c r="G129" s="6"/>
      <c r="H129" s="34"/>
    </row>
    <row r="130" spans="1:8" x14ac:dyDescent="0.25">
      <c r="A130" s="4" t="s">
        <v>0</v>
      </c>
      <c r="B130" s="4" t="s">
        <v>73</v>
      </c>
      <c r="C130" s="4" t="s">
        <v>1</v>
      </c>
      <c r="D130" s="4" t="s">
        <v>2</v>
      </c>
      <c r="E130" s="5" t="s">
        <v>3</v>
      </c>
      <c r="F130" s="31" t="s">
        <v>4</v>
      </c>
      <c r="G130" s="4" t="s">
        <v>5</v>
      </c>
      <c r="H130" s="4" t="s">
        <v>72</v>
      </c>
    </row>
    <row r="131" spans="1:8" x14ac:dyDescent="0.25">
      <c r="A131" s="1">
        <v>1</v>
      </c>
      <c r="B131">
        <f t="shared" ref="B131:B152" si="7">IF(H131=1,MAX(21-A131,0),0)</f>
        <v>20</v>
      </c>
      <c r="C131" s="1" t="s">
        <v>1166</v>
      </c>
      <c r="D131" s="1" t="s">
        <v>266</v>
      </c>
      <c r="E131" s="3" t="s">
        <v>267</v>
      </c>
      <c r="F131" s="32" t="s">
        <v>1167</v>
      </c>
      <c r="G131" s="1" t="s">
        <v>269</v>
      </c>
      <c r="H131" s="6">
        <f>COUNTIF(ValidTeams[],E131)</f>
        <v>1</v>
      </c>
    </row>
    <row r="132" spans="1:8" x14ac:dyDescent="0.25">
      <c r="A132" s="1">
        <v>2</v>
      </c>
      <c r="B132">
        <f t="shared" si="7"/>
        <v>19</v>
      </c>
      <c r="C132" s="1" t="s">
        <v>270</v>
      </c>
      <c r="D132" s="1" t="s">
        <v>24</v>
      </c>
      <c r="E132" s="3" t="s">
        <v>271</v>
      </c>
      <c r="F132" s="32" t="s">
        <v>1168</v>
      </c>
      <c r="G132" s="1" t="s">
        <v>269</v>
      </c>
      <c r="H132" s="6">
        <f>COUNTIF(ValidTeams[],E132)</f>
        <v>1</v>
      </c>
    </row>
    <row r="133" spans="1:8" x14ac:dyDescent="0.25">
      <c r="A133" s="1">
        <v>3</v>
      </c>
      <c r="B133">
        <f t="shared" si="7"/>
        <v>18</v>
      </c>
      <c r="C133" s="1" t="s">
        <v>273</v>
      </c>
      <c r="D133" s="1" t="s">
        <v>274</v>
      </c>
      <c r="E133" s="3" t="s">
        <v>275</v>
      </c>
      <c r="F133" s="32" t="s">
        <v>1169</v>
      </c>
      <c r="G133" s="1" t="s">
        <v>269</v>
      </c>
      <c r="H133" s="6">
        <f>COUNTIF(ValidTeams[],E133)</f>
        <v>1</v>
      </c>
    </row>
    <row r="134" spans="1:8" x14ac:dyDescent="0.25">
      <c r="A134" s="1">
        <v>4</v>
      </c>
      <c r="B134">
        <f t="shared" si="7"/>
        <v>17</v>
      </c>
      <c r="C134" s="1" t="s">
        <v>283</v>
      </c>
      <c r="D134" s="1" t="s">
        <v>284</v>
      </c>
      <c r="E134" s="3" t="s">
        <v>18</v>
      </c>
      <c r="F134" s="32" t="s">
        <v>1170</v>
      </c>
      <c r="G134" s="1" t="s">
        <v>269</v>
      </c>
      <c r="H134" s="6">
        <f>COUNTIF(ValidTeams[],E134)</f>
        <v>1</v>
      </c>
    </row>
    <row r="135" spans="1:8" x14ac:dyDescent="0.25">
      <c r="A135" s="1">
        <v>5</v>
      </c>
      <c r="B135">
        <f t="shared" si="7"/>
        <v>16</v>
      </c>
      <c r="C135" s="1" t="s">
        <v>277</v>
      </c>
      <c r="D135" s="1" t="s">
        <v>278</v>
      </c>
      <c r="E135" s="3" t="s">
        <v>275</v>
      </c>
      <c r="F135" s="32" t="s">
        <v>1172</v>
      </c>
      <c r="G135" s="1" t="s">
        <v>269</v>
      </c>
      <c r="H135" s="6">
        <f>COUNTIF(ValidTeams[],E135)</f>
        <v>1</v>
      </c>
    </row>
    <row r="136" spans="1:8" x14ac:dyDescent="0.25">
      <c r="A136" s="1">
        <v>6</v>
      </c>
      <c r="B136">
        <f t="shared" si="7"/>
        <v>15</v>
      </c>
      <c r="C136" s="1" t="s">
        <v>303</v>
      </c>
      <c r="D136" s="1" t="s">
        <v>304</v>
      </c>
      <c r="E136" s="3" t="s">
        <v>275</v>
      </c>
      <c r="F136" s="32" t="s">
        <v>1174</v>
      </c>
      <c r="G136" s="1" t="s">
        <v>269</v>
      </c>
      <c r="H136" s="6">
        <f>COUNTIF(ValidTeams[],E136)</f>
        <v>1</v>
      </c>
    </row>
    <row r="137" spans="1:8" x14ac:dyDescent="0.25">
      <c r="A137" s="1">
        <v>7</v>
      </c>
      <c r="B137">
        <f t="shared" si="7"/>
        <v>14</v>
      </c>
      <c r="C137" s="1" t="s">
        <v>1175</v>
      </c>
      <c r="D137" s="1" t="s">
        <v>1176</v>
      </c>
      <c r="E137" s="3" t="s">
        <v>275</v>
      </c>
      <c r="F137" s="32" t="s">
        <v>1177</v>
      </c>
      <c r="G137" s="1" t="s">
        <v>269</v>
      </c>
      <c r="H137" s="6">
        <f>COUNTIF(ValidTeams[],E137)</f>
        <v>1</v>
      </c>
    </row>
    <row r="138" spans="1:8" x14ac:dyDescent="0.25">
      <c r="A138" s="1">
        <v>8</v>
      </c>
      <c r="B138">
        <f t="shared" si="7"/>
        <v>13</v>
      </c>
      <c r="C138" s="1" t="s">
        <v>880</v>
      </c>
      <c r="D138" s="1" t="s">
        <v>881</v>
      </c>
      <c r="E138" s="3" t="s">
        <v>313</v>
      </c>
      <c r="F138" s="32" t="s">
        <v>1178</v>
      </c>
      <c r="G138" s="1" t="s">
        <v>269</v>
      </c>
      <c r="H138" s="6">
        <f>COUNTIF(ValidTeams[],E138)</f>
        <v>1</v>
      </c>
    </row>
    <row r="139" spans="1:8" x14ac:dyDescent="0.25">
      <c r="A139" s="1">
        <v>9</v>
      </c>
      <c r="B139">
        <f t="shared" si="7"/>
        <v>12</v>
      </c>
      <c r="C139" s="1" t="s">
        <v>625</v>
      </c>
      <c r="D139" s="1" t="s">
        <v>174</v>
      </c>
      <c r="E139" s="3" t="s">
        <v>290</v>
      </c>
      <c r="F139" s="32" t="s">
        <v>1179</v>
      </c>
      <c r="G139" s="1" t="s">
        <v>269</v>
      </c>
      <c r="H139" s="6">
        <f>COUNTIF(ValidTeams[],E139)</f>
        <v>1</v>
      </c>
    </row>
    <row r="140" spans="1:8" x14ac:dyDescent="0.25">
      <c r="A140" s="1">
        <v>10</v>
      </c>
      <c r="B140">
        <f t="shared" si="7"/>
        <v>11</v>
      </c>
      <c r="C140" s="1" t="s">
        <v>885</v>
      </c>
      <c r="D140" s="1" t="s">
        <v>851</v>
      </c>
      <c r="E140" s="3" t="s">
        <v>275</v>
      </c>
      <c r="F140" s="32" t="s">
        <v>1180</v>
      </c>
      <c r="G140" s="1" t="s">
        <v>269</v>
      </c>
      <c r="H140" s="6">
        <f>COUNTIF(ValidTeams[],E140)</f>
        <v>1</v>
      </c>
    </row>
    <row r="141" spans="1:8" x14ac:dyDescent="0.25">
      <c r="A141" s="1">
        <v>11</v>
      </c>
      <c r="B141">
        <f t="shared" si="7"/>
        <v>10</v>
      </c>
      <c r="C141" s="1" t="s">
        <v>312</v>
      </c>
      <c r="D141" s="1" t="s">
        <v>85</v>
      </c>
      <c r="E141" s="3" t="s">
        <v>313</v>
      </c>
      <c r="F141" s="32" t="s">
        <v>1181</v>
      </c>
      <c r="G141" s="1" t="s">
        <v>269</v>
      </c>
      <c r="H141" s="6">
        <f>COUNTIF(ValidTeams[],E141)</f>
        <v>1</v>
      </c>
    </row>
    <row r="142" spans="1:8" x14ac:dyDescent="0.25">
      <c r="A142" s="1">
        <v>12</v>
      </c>
      <c r="B142">
        <f t="shared" si="7"/>
        <v>9</v>
      </c>
      <c r="C142" s="1" t="s">
        <v>295</v>
      </c>
      <c r="D142" s="1" t="s">
        <v>139</v>
      </c>
      <c r="E142" s="3" t="s">
        <v>18</v>
      </c>
      <c r="F142" s="32" t="s">
        <v>1182</v>
      </c>
      <c r="G142" s="1" t="s">
        <v>269</v>
      </c>
      <c r="H142" s="6">
        <f>COUNTIF(ValidTeams[],E142)</f>
        <v>1</v>
      </c>
    </row>
    <row r="143" spans="1:8" x14ac:dyDescent="0.25">
      <c r="A143" s="1">
        <v>13</v>
      </c>
      <c r="B143">
        <f t="shared" si="7"/>
        <v>8</v>
      </c>
      <c r="C143" s="1" t="s">
        <v>315</v>
      </c>
      <c r="D143" s="1" t="s">
        <v>23</v>
      </c>
      <c r="E143" s="3" t="s">
        <v>18</v>
      </c>
      <c r="F143" s="32" t="s">
        <v>1183</v>
      </c>
      <c r="G143" s="1" t="s">
        <v>269</v>
      </c>
      <c r="H143" s="6">
        <f>COUNTIF(ValidTeams[],E143)</f>
        <v>1</v>
      </c>
    </row>
    <row r="144" spans="1:8" x14ac:dyDescent="0.25">
      <c r="A144" s="1">
        <v>14</v>
      </c>
      <c r="B144">
        <f t="shared" si="7"/>
        <v>0</v>
      </c>
      <c r="C144" s="1" t="s">
        <v>803</v>
      </c>
      <c r="D144" s="1" t="s">
        <v>250</v>
      </c>
      <c r="E144" s="3"/>
      <c r="F144" s="32" t="s">
        <v>1184</v>
      </c>
      <c r="G144" s="1" t="s">
        <v>269</v>
      </c>
      <c r="H144" s="6">
        <f>COUNTIF(ValidTeams[],E144)</f>
        <v>0</v>
      </c>
    </row>
    <row r="145" spans="1:8" x14ac:dyDescent="0.25">
      <c r="A145">
        <v>15</v>
      </c>
      <c r="B145">
        <f t="shared" si="7"/>
        <v>0</v>
      </c>
      <c r="C145" t="s">
        <v>1185</v>
      </c>
      <c r="D145" t="s">
        <v>90</v>
      </c>
      <c r="E145"/>
      <c r="F145" s="28">
        <v>2.2405092592592591E-2</v>
      </c>
      <c r="G145" t="s">
        <v>269</v>
      </c>
      <c r="H145">
        <f>COUNTIF(ValidTeams[],E145)</f>
        <v>0</v>
      </c>
    </row>
    <row r="146" spans="1:8" x14ac:dyDescent="0.25">
      <c r="A146" s="1">
        <v>16</v>
      </c>
      <c r="B146">
        <f t="shared" si="7"/>
        <v>5</v>
      </c>
      <c r="C146" s="1" t="s">
        <v>102</v>
      </c>
      <c r="D146" s="1" t="s">
        <v>174</v>
      </c>
      <c r="E146" s="3" t="s">
        <v>100</v>
      </c>
      <c r="F146" s="32" t="s">
        <v>1186</v>
      </c>
      <c r="G146" s="1" t="s">
        <v>269</v>
      </c>
      <c r="H146" s="6">
        <f>COUNTIF(ValidTeams[],E146)</f>
        <v>1</v>
      </c>
    </row>
    <row r="147" spans="1:8" x14ac:dyDescent="0.25">
      <c r="A147" s="1">
        <v>17</v>
      </c>
      <c r="B147">
        <f t="shared" si="7"/>
        <v>0</v>
      </c>
      <c r="C147" s="1"/>
      <c r="D147" s="1"/>
      <c r="E147" s="3"/>
      <c r="F147" s="32"/>
      <c r="G147" s="1" t="s">
        <v>269</v>
      </c>
      <c r="H147" s="6">
        <f>COUNTIF(ValidTeams[],E147)</f>
        <v>0</v>
      </c>
    </row>
    <row r="148" spans="1:8" x14ac:dyDescent="0.25">
      <c r="A148" s="1">
        <v>18</v>
      </c>
      <c r="B148">
        <f t="shared" si="7"/>
        <v>0</v>
      </c>
      <c r="C148" s="1"/>
      <c r="D148" s="1"/>
      <c r="E148" s="3"/>
      <c r="F148" s="32"/>
      <c r="G148" s="1" t="s">
        <v>269</v>
      </c>
      <c r="H148" s="6">
        <f>COUNTIF(ValidTeams[],E148)</f>
        <v>0</v>
      </c>
    </row>
    <row r="149" spans="1:8" x14ac:dyDescent="0.25">
      <c r="A149">
        <v>19</v>
      </c>
      <c r="B149">
        <f t="shared" si="7"/>
        <v>0</v>
      </c>
      <c r="E149"/>
      <c r="F149" s="28"/>
      <c r="G149" t="s">
        <v>269</v>
      </c>
      <c r="H149">
        <f>COUNTIF(ValidTeams[],E149)</f>
        <v>0</v>
      </c>
    </row>
    <row r="150" spans="1:8" x14ac:dyDescent="0.25">
      <c r="A150">
        <v>20</v>
      </c>
      <c r="B150">
        <f t="shared" si="7"/>
        <v>0</v>
      </c>
      <c r="E150"/>
      <c r="F150" s="28"/>
      <c r="G150" t="s">
        <v>269</v>
      </c>
      <c r="H150">
        <f>COUNTIF(ValidTeams[],E150)</f>
        <v>0</v>
      </c>
    </row>
    <row r="151" spans="1:8" x14ac:dyDescent="0.25">
      <c r="A151">
        <v>21</v>
      </c>
      <c r="B151">
        <f t="shared" si="7"/>
        <v>0</v>
      </c>
      <c r="E151"/>
      <c r="F151" s="28"/>
      <c r="G151" t="s">
        <v>269</v>
      </c>
      <c r="H151">
        <f>COUNTIF(ValidTeams[],E151)</f>
        <v>0</v>
      </c>
    </row>
    <row r="152" spans="1:8" x14ac:dyDescent="0.25">
      <c r="A152">
        <v>22</v>
      </c>
      <c r="B152">
        <f t="shared" si="7"/>
        <v>0</v>
      </c>
      <c r="E152"/>
      <c r="G152" t="s">
        <v>269</v>
      </c>
      <c r="H152">
        <f>COUNTIF(ValidTeams[],E152)</f>
        <v>0</v>
      </c>
    </row>
    <row r="153" spans="1:8" x14ac:dyDescent="0.25">
      <c r="F153" s="29"/>
    </row>
    <row r="154" spans="1:8" x14ac:dyDescent="0.25">
      <c r="A154" s="4" t="s">
        <v>0</v>
      </c>
      <c r="B154" s="4" t="s">
        <v>73</v>
      </c>
      <c r="C154" s="4" t="s">
        <v>1</v>
      </c>
      <c r="D154" s="4" t="s">
        <v>2</v>
      </c>
      <c r="E154" s="5" t="s">
        <v>3</v>
      </c>
      <c r="F154" s="31" t="s">
        <v>4</v>
      </c>
      <c r="G154" s="4" t="s">
        <v>5</v>
      </c>
      <c r="H154" s="4" t="s">
        <v>72</v>
      </c>
    </row>
    <row r="155" spans="1:8" x14ac:dyDescent="0.25">
      <c r="A155" s="1">
        <v>1</v>
      </c>
      <c r="B155">
        <f t="shared" ref="B155:B164" si="8">IF(H155=1,MAX(21-A155,0),0)</f>
        <v>20</v>
      </c>
      <c r="C155" s="1" t="s">
        <v>329</v>
      </c>
      <c r="D155" s="1" t="s">
        <v>330</v>
      </c>
      <c r="E155" s="3" t="s">
        <v>441</v>
      </c>
      <c r="F155" s="32" t="s">
        <v>1318</v>
      </c>
      <c r="G155" s="1" t="s">
        <v>331</v>
      </c>
      <c r="H155" s="6">
        <f>COUNTIF(ValidTeams[],E155)</f>
        <v>1</v>
      </c>
    </row>
    <row r="156" spans="1:8" x14ac:dyDescent="0.25">
      <c r="A156" s="1">
        <v>2</v>
      </c>
      <c r="B156">
        <f t="shared" si="8"/>
        <v>19</v>
      </c>
      <c r="C156" s="1" t="s">
        <v>332</v>
      </c>
      <c r="D156" s="1" t="s">
        <v>333</v>
      </c>
      <c r="E156" s="3" t="s">
        <v>38</v>
      </c>
      <c r="F156" s="32" t="s">
        <v>1319</v>
      </c>
      <c r="G156" s="1" t="s">
        <v>331</v>
      </c>
      <c r="H156" s="6">
        <f>COUNTIF(ValidTeams[],E156)</f>
        <v>1</v>
      </c>
    </row>
    <row r="157" spans="1:8" x14ac:dyDescent="0.25">
      <c r="A157" s="1">
        <v>3</v>
      </c>
      <c r="B157">
        <f t="shared" si="8"/>
        <v>18</v>
      </c>
      <c r="C157" s="1" t="s">
        <v>335</v>
      </c>
      <c r="D157" s="1" t="s">
        <v>336</v>
      </c>
      <c r="E157" s="3" t="s">
        <v>88</v>
      </c>
      <c r="F157" s="32" t="s">
        <v>1320</v>
      </c>
      <c r="G157" s="1" t="s">
        <v>331</v>
      </c>
      <c r="H157" s="6">
        <f>COUNTIF(ValidTeams[],E157)</f>
        <v>1</v>
      </c>
    </row>
    <row r="158" spans="1:8" x14ac:dyDescent="0.25">
      <c r="A158" s="1">
        <v>4</v>
      </c>
      <c r="B158">
        <f t="shared" si="8"/>
        <v>17</v>
      </c>
      <c r="C158" s="1" t="s">
        <v>6</v>
      </c>
      <c r="D158" s="1" t="s">
        <v>341</v>
      </c>
      <c r="E158" s="3" t="s">
        <v>8</v>
      </c>
      <c r="F158" s="32" t="s">
        <v>1321</v>
      </c>
      <c r="G158" s="1" t="s">
        <v>331</v>
      </c>
      <c r="H158" s="6">
        <f>COUNTIF(ValidTeams[],E158)</f>
        <v>1</v>
      </c>
    </row>
    <row r="159" spans="1:8" x14ac:dyDescent="0.25">
      <c r="A159" s="1">
        <v>5</v>
      </c>
      <c r="B159">
        <f t="shared" si="8"/>
        <v>16</v>
      </c>
      <c r="C159" s="1" t="s">
        <v>351</v>
      </c>
      <c r="D159" s="1" t="s">
        <v>352</v>
      </c>
      <c r="E159" s="3" t="s">
        <v>38</v>
      </c>
      <c r="F159" s="32" t="s">
        <v>1322</v>
      </c>
      <c r="G159" s="1" t="s">
        <v>331</v>
      </c>
      <c r="H159" s="6">
        <f>COUNTIF(ValidTeams[],E159)</f>
        <v>1</v>
      </c>
    </row>
    <row r="160" spans="1:8" x14ac:dyDescent="0.25">
      <c r="A160" s="1">
        <v>6</v>
      </c>
      <c r="B160">
        <f t="shared" si="8"/>
        <v>0</v>
      </c>
      <c r="C160" s="1" t="s">
        <v>910</v>
      </c>
      <c r="D160" s="1" t="s">
        <v>911</v>
      </c>
      <c r="E160" s="3"/>
      <c r="F160" s="32" t="s">
        <v>1323</v>
      </c>
      <c r="G160" s="1" t="s">
        <v>331</v>
      </c>
      <c r="H160" s="6">
        <f>COUNTIF(ValidTeams[],E160)</f>
        <v>0</v>
      </c>
    </row>
    <row r="161" spans="1:8" x14ac:dyDescent="0.25">
      <c r="A161" s="1">
        <v>7</v>
      </c>
      <c r="B161">
        <f t="shared" si="8"/>
        <v>0</v>
      </c>
      <c r="C161" s="1" t="s">
        <v>1324</v>
      </c>
      <c r="D161" s="1" t="s">
        <v>1325</v>
      </c>
      <c r="E161" s="3" t="s">
        <v>745</v>
      </c>
      <c r="F161" s="32" t="s">
        <v>1326</v>
      </c>
      <c r="G161" s="1" t="s">
        <v>331</v>
      </c>
      <c r="H161" s="6">
        <f>COUNTIF(ValidTeams[],E161)</f>
        <v>0</v>
      </c>
    </row>
    <row r="162" spans="1:8" x14ac:dyDescent="0.25">
      <c r="A162" s="1">
        <v>8</v>
      </c>
      <c r="B162">
        <f t="shared" si="8"/>
        <v>13</v>
      </c>
      <c r="C162" s="1" t="s">
        <v>356</v>
      </c>
      <c r="D162" s="1" t="s">
        <v>357</v>
      </c>
      <c r="E162" s="3" t="s">
        <v>100</v>
      </c>
      <c r="F162" s="32" t="s">
        <v>1327</v>
      </c>
      <c r="G162" s="1" t="s">
        <v>331</v>
      </c>
      <c r="H162" s="6">
        <f>COUNTIF(ValidTeams[],E162)</f>
        <v>1</v>
      </c>
    </row>
    <row r="163" spans="1:8" x14ac:dyDescent="0.25">
      <c r="A163" s="1">
        <v>9</v>
      </c>
      <c r="B163">
        <f t="shared" si="8"/>
        <v>0</v>
      </c>
      <c r="E163"/>
      <c r="F163" s="28"/>
      <c r="G163" s="1" t="s">
        <v>331</v>
      </c>
      <c r="H163" s="6">
        <f>COUNTIF(ValidTeams[],E163)</f>
        <v>0</v>
      </c>
    </row>
    <row r="164" spans="1:8" x14ac:dyDescent="0.25">
      <c r="A164" s="1">
        <v>10</v>
      </c>
      <c r="B164">
        <f t="shared" si="8"/>
        <v>0</v>
      </c>
      <c r="E164"/>
      <c r="F164" s="28"/>
      <c r="G164" s="1" t="s">
        <v>331</v>
      </c>
      <c r="H164" s="6">
        <f>COUNTIF(ValidTeams[],E164)</f>
        <v>0</v>
      </c>
    </row>
    <row r="165" spans="1:8" x14ac:dyDescent="0.25">
      <c r="A165" s="1">
        <v>11</v>
      </c>
      <c r="B165" s="1">
        <f>IF(H165=1,MAX(21-A165,0),0)</f>
        <v>0</v>
      </c>
      <c r="E165"/>
      <c r="F165" s="28"/>
      <c r="G165" s="1" t="s">
        <v>331</v>
      </c>
      <c r="H165" s="6">
        <f>COUNTIF(ValidTeams[],E165)</f>
        <v>0</v>
      </c>
    </row>
    <row r="166" spans="1:8" x14ac:dyDescent="0.25">
      <c r="A166" s="6"/>
      <c r="B166" s="6"/>
      <c r="C166" s="6"/>
      <c r="D166" s="6"/>
      <c r="E166" s="21"/>
      <c r="F166" s="33"/>
      <c r="G166" s="6"/>
      <c r="H166" s="34"/>
    </row>
    <row r="167" spans="1:8" x14ac:dyDescent="0.25">
      <c r="A167" s="4" t="s">
        <v>0</v>
      </c>
      <c r="B167" s="4" t="s">
        <v>73</v>
      </c>
      <c r="C167" s="4" t="s">
        <v>1</v>
      </c>
      <c r="D167" s="4" t="s">
        <v>2</v>
      </c>
      <c r="E167" s="5" t="s">
        <v>3</v>
      </c>
      <c r="F167" s="31" t="s">
        <v>4</v>
      </c>
      <c r="G167" s="4" t="s">
        <v>5</v>
      </c>
      <c r="H167" s="4" t="s">
        <v>72</v>
      </c>
    </row>
    <row r="168" spans="1:8" x14ac:dyDescent="0.25">
      <c r="A168" s="1">
        <v>1</v>
      </c>
      <c r="B168">
        <f t="shared" ref="B168:B189" si="9">IF(H168=1,MAX(21-A168,0),0)</f>
        <v>20</v>
      </c>
      <c r="C168" s="6" t="s">
        <v>1206</v>
      </c>
      <c r="D168" s="6" t="s">
        <v>174</v>
      </c>
      <c r="E168" s="21" t="s">
        <v>433</v>
      </c>
      <c r="F168" s="33" t="s">
        <v>1207</v>
      </c>
      <c r="G168" s="1" t="s">
        <v>363</v>
      </c>
      <c r="H168" s="6">
        <f>COUNTIF(ValidTeams[],E168)</f>
        <v>1</v>
      </c>
    </row>
    <row r="169" spans="1:8" x14ac:dyDescent="0.25">
      <c r="A169" s="1">
        <v>2</v>
      </c>
      <c r="B169">
        <f t="shared" si="9"/>
        <v>19</v>
      </c>
      <c r="C169" s="6" t="s">
        <v>388</v>
      </c>
      <c r="D169" s="6" t="s">
        <v>30</v>
      </c>
      <c r="E169" s="3" t="s">
        <v>389</v>
      </c>
      <c r="F169" s="32" t="s">
        <v>1208</v>
      </c>
      <c r="G169" s="1" t="s">
        <v>363</v>
      </c>
      <c r="H169" s="6">
        <f>COUNTIF(ValidTeams[],E169)</f>
        <v>1</v>
      </c>
    </row>
    <row r="170" spans="1:8" x14ac:dyDescent="0.25">
      <c r="A170" s="1">
        <v>3</v>
      </c>
      <c r="B170">
        <f t="shared" si="9"/>
        <v>0</v>
      </c>
      <c r="C170" s="6" t="s">
        <v>1115</v>
      </c>
      <c r="D170" s="6" t="s">
        <v>174</v>
      </c>
      <c r="E170" s="3" t="s">
        <v>1116</v>
      </c>
      <c r="F170" s="32" t="s">
        <v>1209</v>
      </c>
      <c r="G170" s="1" t="s">
        <v>363</v>
      </c>
      <c r="H170" s="6">
        <f>COUNTIF(ValidTeams[],E170)</f>
        <v>0</v>
      </c>
    </row>
    <row r="171" spans="1:8" x14ac:dyDescent="0.25">
      <c r="A171" s="1">
        <v>4</v>
      </c>
      <c r="B171">
        <f t="shared" si="9"/>
        <v>17</v>
      </c>
      <c r="C171" s="6" t="s">
        <v>286</v>
      </c>
      <c r="D171" s="6" t="s">
        <v>287</v>
      </c>
      <c r="E171" s="3" t="s">
        <v>38</v>
      </c>
      <c r="F171" s="32" t="s">
        <v>1210</v>
      </c>
      <c r="G171" s="1" t="s">
        <v>363</v>
      </c>
      <c r="H171" s="6">
        <f>COUNTIF(ValidTeams[],E171)</f>
        <v>1</v>
      </c>
    </row>
    <row r="172" spans="1:8" x14ac:dyDescent="0.25">
      <c r="A172" s="1">
        <v>5</v>
      </c>
      <c r="B172">
        <f t="shared" si="9"/>
        <v>16</v>
      </c>
      <c r="C172" s="6" t="s">
        <v>958</v>
      </c>
      <c r="D172" s="6" t="s">
        <v>959</v>
      </c>
      <c r="E172" s="3" t="s">
        <v>251</v>
      </c>
      <c r="F172" s="32" t="s">
        <v>1211</v>
      </c>
      <c r="G172" s="1" t="s">
        <v>363</v>
      </c>
      <c r="H172" s="6">
        <f>COUNTIF(ValidTeams[],E172)</f>
        <v>1</v>
      </c>
    </row>
    <row r="173" spans="1:8" x14ac:dyDescent="0.25">
      <c r="A173" s="1">
        <v>6</v>
      </c>
      <c r="B173">
        <f t="shared" si="9"/>
        <v>15</v>
      </c>
      <c r="C173" s="6" t="s">
        <v>66</v>
      </c>
      <c r="D173" s="6" t="s">
        <v>176</v>
      </c>
      <c r="E173" s="3" t="s">
        <v>442</v>
      </c>
      <c r="F173" s="32" t="s">
        <v>1212</v>
      </c>
      <c r="G173" s="1" t="s">
        <v>363</v>
      </c>
      <c r="H173" s="6">
        <f>COUNTIF(ValidTeams[],E173)</f>
        <v>1</v>
      </c>
    </row>
    <row r="174" spans="1:8" x14ac:dyDescent="0.25">
      <c r="A174" s="1">
        <v>7</v>
      </c>
      <c r="B174">
        <f t="shared" si="9"/>
        <v>14</v>
      </c>
      <c r="C174" s="6" t="s">
        <v>365</v>
      </c>
      <c r="D174" s="6" t="s">
        <v>366</v>
      </c>
      <c r="E174" s="3" t="s">
        <v>222</v>
      </c>
      <c r="F174" s="32" t="s">
        <v>1213</v>
      </c>
      <c r="G174" s="1" t="s">
        <v>363</v>
      </c>
      <c r="H174" s="6">
        <f>COUNTIF(ValidTeams[],E174)</f>
        <v>1</v>
      </c>
    </row>
    <row r="175" spans="1:8" x14ac:dyDescent="0.25">
      <c r="A175" s="1">
        <v>8</v>
      </c>
      <c r="B175">
        <f t="shared" si="9"/>
        <v>0</v>
      </c>
      <c r="C175" s="6" t="s">
        <v>1214</v>
      </c>
      <c r="D175" s="6" t="s">
        <v>1215</v>
      </c>
      <c r="E175" s="3"/>
      <c r="F175" s="32" t="s">
        <v>1216</v>
      </c>
      <c r="G175" s="1" t="s">
        <v>363</v>
      </c>
      <c r="H175" s="6">
        <f>COUNTIF(ValidTeams[],E175)</f>
        <v>0</v>
      </c>
    </row>
    <row r="176" spans="1:8" x14ac:dyDescent="0.25">
      <c r="A176">
        <v>9</v>
      </c>
      <c r="B176">
        <f t="shared" si="9"/>
        <v>12</v>
      </c>
      <c r="C176" s="6" t="s">
        <v>209</v>
      </c>
      <c r="D176" s="6" t="s">
        <v>511</v>
      </c>
      <c r="E176" s="3" t="s">
        <v>251</v>
      </c>
      <c r="F176" s="32" t="s">
        <v>1217</v>
      </c>
      <c r="G176" t="s">
        <v>363</v>
      </c>
      <c r="H176" s="6">
        <f>COUNTIF(ValidTeams[],E176)</f>
        <v>1</v>
      </c>
    </row>
    <row r="177" spans="1:8" x14ac:dyDescent="0.25">
      <c r="A177">
        <v>10</v>
      </c>
      <c r="B177">
        <f t="shared" si="9"/>
        <v>0</v>
      </c>
      <c r="C177" s="6" t="s">
        <v>1218</v>
      </c>
      <c r="D177" s="6" t="s">
        <v>1219</v>
      </c>
      <c r="E177" s="3"/>
      <c r="F177" s="32" t="s">
        <v>1220</v>
      </c>
      <c r="G177" t="s">
        <v>363</v>
      </c>
      <c r="H177" s="6">
        <f>COUNTIF(ValidTeams[],E177)</f>
        <v>0</v>
      </c>
    </row>
    <row r="178" spans="1:8" x14ac:dyDescent="0.25">
      <c r="A178">
        <v>11</v>
      </c>
      <c r="B178">
        <f t="shared" si="9"/>
        <v>10</v>
      </c>
      <c r="C178" s="6" t="s">
        <v>370</v>
      </c>
      <c r="D178" s="6" t="s">
        <v>281</v>
      </c>
      <c r="E178" s="3" t="s">
        <v>267</v>
      </c>
      <c r="F178" s="32" t="s">
        <v>1221</v>
      </c>
      <c r="G178" t="s">
        <v>363</v>
      </c>
      <c r="H178" s="6">
        <f>COUNTIF(ValidTeams[],E178)</f>
        <v>1</v>
      </c>
    </row>
    <row r="179" spans="1:8" x14ac:dyDescent="0.25">
      <c r="A179">
        <v>12</v>
      </c>
      <c r="B179">
        <f t="shared" si="9"/>
        <v>0</v>
      </c>
      <c r="C179" t="s">
        <v>1025</v>
      </c>
      <c r="D179" t="s">
        <v>1026</v>
      </c>
      <c r="E179" s="27"/>
      <c r="F179" s="28">
        <v>1.830787037037037E-2</v>
      </c>
      <c r="G179" t="s">
        <v>363</v>
      </c>
      <c r="H179" s="6">
        <f>COUNTIF(ValidTeams[],E179)</f>
        <v>0</v>
      </c>
    </row>
    <row r="180" spans="1:8" x14ac:dyDescent="0.25">
      <c r="A180">
        <v>13</v>
      </c>
      <c r="B180">
        <f t="shared" si="9"/>
        <v>8</v>
      </c>
      <c r="C180" t="s">
        <v>372</v>
      </c>
      <c r="D180" t="s">
        <v>278</v>
      </c>
      <c r="E180" t="s">
        <v>267</v>
      </c>
      <c r="F180" s="28">
        <v>1.8672453703703702E-2</v>
      </c>
      <c r="G180" t="s">
        <v>363</v>
      </c>
      <c r="H180" s="6">
        <f>COUNTIF(ValidTeams[],E180)</f>
        <v>1</v>
      </c>
    </row>
    <row r="181" spans="1:8" x14ac:dyDescent="0.25">
      <c r="A181">
        <v>14</v>
      </c>
      <c r="B181">
        <f t="shared" si="9"/>
        <v>0</v>
      </c>
      <c r="C181" t="s">
        <v>209</v>
      </c>
      <c r="D181" t="s">
        <v>33</v>
      </c>
      <c r="E181" t="s">
        <v>210</v>
      </c>
      <c r="F181" s="28">
        <v>1.9748842592592592E-2</v>
      </c>
      <c r="G181" t="s">
        <v>363</v>
      </c>
      <c r="H181" s="6">
        <f>COUNTIF(ValidTeams[],E181)</f>
        <v>0</v>
      </c>
    </row>
    <row r="182" spans="1:8" x14ac:dyDescent="0.25">
      <c r="A182" s="1">
        <v>15</v>
      </c>
      <c r="B182" s="1">
        <f t="shared" si="9"/>
        <v>0</v>
      </c>
      <c r="C182" s="1" t="s">
        <v>1222</v>
      </c>
      <c r="D182" s="1" t="s">
        <v>30</v>
      </c>
      <c r="E182" s="3" t="s">
        <v>200</v>
      </c>
      <c r="F182" s="32" t="s">
        <v>1223</v>
      </c>
      <c r="G182" s="1" t="s">
        <v>363</v>
      </c>
      <c r="H182" s="24">
        <f>COUNTIF(ValidTeams[],E182)</f>
        <v>0</v>
      </c>
    </row>
    <row r="183" spans="1:8" x14ac:dyDescent="0.25">
      <c r="A183" s="1">
        <v>16</v>
      </c>
      <c r="B183" s="1">
        <f t="shared" si="9"/>
        <v>0</v>
      </c>
      <c r="C183" s="1" t="s">
        <v>978</v>
      </c>
      <c r="D183" s="1" t="s">
        <v>979</v>
      </c>
      <c r="E183" s="3"/>
      <c r="F183" s="32" t="s">
        <v>1224</v>
      </c>
      <c r="G183" s="1" t="s">
        <v>363</v>
      </c>
      <c r="H183" s="24">
        <f>COUNTIF(ValidTeams[],E183)</f>
        <v>0</v>
      </c>
    </row>
    <row r="184" spans="1:8" x14ac:dyDescent="0.25">
      <c r="A184" s="1">
        <v>17</v>
      </c>
      <c r="B184" s="1">
        <f t="shared" si="9"/>
        <v>4</v>
      </c>
      <c r="C184" s="1" t="s">
        <v>1225</v>
      </c>
      <c r="D184" s="1" t="s">
        <v>174</v>
      </c>
      <c r="E184" s="3" t="s">
        <v>18</v>
      </c>
      <c r="F184" s="32" t="s">
        <v>1226</v>
      </c>
      <c r="G184" s="1" t="s">
        <v>363</v>
      </c>
      <c r="H184" s="24">
        <f>COUNTIF(ValidTeams[],E184)</f>
        <v>1</v>
      </c>
    </row>
    <row r="185" spans="1:8" x14ac:dyDescent="0.25">
      <c r="A185" s="1">
        <v>18</v>
      </c>
      <c r="B185" s="1">
        <f t="shared" si="9"/>
        <v>3</v>
      </c>
      <c r="C185" s="1" t="s">
        <v>94</v>
      </c>
      <c r="D185" s="1" t="s">
        <v>394</v>
      </c>
      <c r="E185" s="3" t="s">
        <v>91</v>
      </c>
      <c r="F185" s="32" t="s">
        <v>1227</v>
      </c>
      <c r="G185" s="1" t="s">
        <v>363</v>
      </c>
      <c r="H185" s="24">
        <f>COUNTIF(ValidTeams[],E185)</f>
        <v>1</v>
      </c>
    </row>
    <row r="186" spans="1:8" x14ac:dyDescent="0.25">
      <c r="A186" s="1">
        <v>19</v>
      </c>
      <c r="B186" s="1">
        <f t="shared" si="9"/>
        <v>0</v>
      </c>
      <c r="C186" s="1"/>
      <c r="D186" s="1"/>
      <c r="E186"/>
      <c r="F186" s="32"/>
      <c r="G186" s="1" t="s">
        <v>363</v>
      </c>
      <c r="H186" s="24">
        <f>COUNTIF(ValidTeams[],E186)</f>
        <v>0</v>
      </c>
    </row>
    <row r="187" spans="1:8" x14ac:dyDescent="0.25">
      <c r="A187" s="1">
        <v>20</v>
      </c>
      <c r="B187" s="1">
        <f t="shared" si="9"/>
        <v>0</v>
      </c>
      <c r="C187" s="1"/>
      <c r="D187" s="1"/>
      <c r="E187" s="3"/>
      <c r="F187" s="32"/>
      <c r="G187" s="1" t="s">
        <v>363</v>
      </c>
      <c r="H187" s="24">
        <f>COUNTIF(ValidTeams[],E187)</f>
        <v>0</v>
      </c>
    </row>
    <row r="188" spans="1:8" x14ac:dyDescent="0.25">
      <c r="A188" s="1">
        <v>21</v>
      </c>
      <c r="B188" s="1">
        <f t="shared" si="9"/>
        <v>0</v>
      </c>
      <c r="C188" s="1"/>
      <c r="D188" s="1"/>
      <c r="E188" s="3"/>
      <c r="F188" s="32"/>
      <c r="G188" s="1" t="s">
        <v>363</v>
      </c>
      <c r="H188" s="24">
        <f>COUNTIF(ValidTeams[],E188)</f>
        <v>0</v>
      </c>
    </row>
    <row r="189" spans="1:8" x14ac:dyDescent="0.25">
      <c r="A189" s="1">
        <v>22</v>
      </c>
      <c r="B189" s="1">
        <f t="shared" si="9"/>
        <v>0</v>
      </c>
      <c r="C189" s="1"/>
      <c r="D189" s="1"/>
      <c r="E189" s="3"/>
      <c r="F189" s="32"/>
      <c r="G189" s="1" t="s">
        <v>363</v>
      </c>
      <c r="H189" s="24">
        <f>COUNTIF(ValidTeams[],E189)</f>
        <v>0</v>
      </c>
    </row>
    <row r="190" spans="1:8" x14ac:dyDescent="0.25">
      <c r="A190" s="6"/>
      <c r="B190" s="6"/>
      <c r="C190" s="6"/>
      <c r="D190" s="6"/>
      <c r="E190" s="21"/>
      <c r="F190" s="33"/>
      <c r="G190" s="6"/>
      <c r="H190" s="34"/>
    </row>
    <row r="191" spans="1:8" x14ac:dyDescent="0.25">
      <c r="A191" s="4" t="s">
        <v>0</v>
      </c>
      <c r="B191" s="4" t="s">
        <v>73</v>
      </c>
      <c r="C191" s="4" t="s">
        <v>1</v>
      </c>
      <c r="D191" s="4" t="s">
        <v>2</v>
      </c>
      <c r="E191" s="5" t="s">
        <v>3</v>
      </c>
      <c r="F191" s="31" t="s">
        <v>4</v>
      </c>
      <c r="G191" s="4" t="s">
        <v>5</v>
      </c>
      <c r="H191" s="4" t="s">
        <v>72</v>
      </c>
    </row>
    <row r="192" spans="1:8" x14ac:dyDescent="0.25">
      <c r="A192" s="1">
        <v>1</v>
      </c>
      <c r="B192">
        <f t="shared" ref="B192:B194" si="10">IF(H192=1,MAX(21-A192,0),0)</f>
        <v>20</v>
      </c>
      <c r="C192" s="1" t="s">
        <v>916</v>
      </c>
      <c r="D192" s="1" t="s">
        <v>917</v>
      </c>
      <c r="E192" s="3" t="s">
        <v>49</v>
      </c>
      <c r="F192" s="32" t="s">
        <v>1336</v>
      </c>
      <c r="G192" s="1" t="s">
        <v>399</v>
      </c>
      <c r="H192" s="6">
        <f>COUNTIF(ValidTeams[],E192)</f>
        <v>1</v>
      </c>
    </row>
    <row r="193" spans="1:8" x14ac:dyDescent="0.25">
      <c r="A193" s="1">
        <v>2</v>
      </c>
      <c r="B193">
        <f t="shared" si="10"/>
        <v>19</v>
      </c>
      <c r="C193" s="1" t="s">
        <v>396</v>
      </c>
      <c r="D193" s="1" t="s">
        <v>397</v>
      </c>
      <c r="E193" s="3" t="s">
        <v>88</v>
      </c>
      <c r="F193" s="32" t="s">
        <v>1337</v>
      </c>
      <c r="G193" s="1" t="s">
        <v>399</v>
      </c>
      <c r="H193" s="6">
        <f>COUNTIF(ValidTeams[],E193)</f>
        <v>1</v>
      </c>
    </row>
    <row r="194" spans="1:8" x14ac:dyDescent="0.25">
      <c r="A194" s="1">
        <v>3</v>
      </c>
      <c r="B194">
        <f t="shared" si="10"/>
        <v>0</v>
      </c>
      <c r="C194" s="1" t="s">
        <v>1338</v>
      </c>
      <c r="D194" s="1" t="s">
        <v>341</v>
      </c>
      <c r="E194" s="3" t="s">
        <v>1339</v>
      </c>
      <c r="F194" s="32" t="s">
        <v>1340</v>
      </c>
      <c r="G194" s="1" t="s">
        <v>399</v>
      </c>
      <c r="H194" s="6">
        <f>COUNTIF(ValidTeams[],E194)</f>
        <v>0</v>
      </c>
    </row>
    <row r="195" spans="1:8" x14ac:dyDescent="0.25">
      <c r="A195" s="1">
        <v>4</v>
      </c>
      <c r="B195" s="1">
        <f>IF(H195=1,MAX(21-A195,0),0)</f>
        <v>17</v>
      </c>
      <c r="C195" s="1" t="s">
        <v>1341</v>
      </c>
      <c r="D195" s="1" t="s">
        <v>70</v>
      </c>
      <c r="E195" s="3" t="s">
        <v>49</v>
      </c>
      <c r="F195" s="32" t="s">
        <v>1342</v>
      </c>
      <c r="G195" s="1" t="s">
        <v>399</v>
      </c>
      <c r="H195" s="24">
        <f>COUNTIF(ValidTeams[],E195)</f>
        <v>1</v>
      </c>
    </row>
    <row r="196" spans="1:8" x14ac:dyDescent="0.25">
      <c r="A196" s="1">
        <v>5</v>
      </c>
      <c r="B196" s="1">
        <f>IF(H196=1,MAX(21-A196,0),0)</f>
        <v>16</v>
      </c>
      <c r="C196" s="1" t="s">
        <v>902</v>
      </c>
      <c r="D196" s="1" t="s">
        <v>903</v>
      </c>
      <c r="E196" s="3" t="s">
        <v>222</v>
      </c>
      <c r="F196" s="32" t="s">
        <v>1343</v>
      </c>
      <c r="G196" s="1" t="s">
        <v>399</v>
      </c>
      <c r="H196" s="24">
        <f>COUNTIF(ValidTeams[],E196)</f>
        <v>1</v>
      </c>
    </row>
    <row r="197" spans="1:8" x14ac:dyDescent="0.25">
      <c r="A197" s="1">
        <v>6</v>
      </c>
      <c r="B197" s="1">
        <f>IF(H197=1,MAX(21-A197,0),0)</f>
        <v>15</v>
      </c>
      <c r="C197" s="1" t="s">
        <v>400</v>
      </c>
      <c r="D197" s="1" t="s">
        <v>401</v>
      </c>
      <c r="E197" s="3" t="s">
        <v>290</v>
      </c>
      <c r="F197" s="32" t="s">
        <v>1344</v>
      </c>
      <c r="G197" s="1" t="s">
        <v>399</v>
      </c>
      <c r="H197" s="24">
        <f>COUNTIF(ValidTeams[],E197)</f>
        <v>1</v>
      </c>
    </row>
    <row r="198" spans="1:8" x14ac:dyDescent="0.25">
      <c r="A198" s="1">
        <v>7</v>
      </c>
      <c r="B198" s="1">
        <f>IF(H198=1,MAX(21-A198,0),0)</f>
        <v>0</v>
      </c>
      <c r="C198" s="1" t="s">
        <v>1345</v>
      </c>
      <c r="D198" s="1" t="s">
        <v>1346</v>
      </c>
      <c r="E198" s="3" t="s">
        <v>745</v>
      </c>
      <c r="F198" s="32" t="s">
        <v>1347</v>
      </c>
      <c r="G198" s="1" t="s">
        <v>399</v>
      </c>
      <c r="H198" s="24">
        <f>COUNTIF(ValidTeams[],E198)</f>
        <v>0</v>
      </c>
    </row>
    <row r="199" spans="1:8" x14ac:dyDescent="0.25">
      <c r="A199" s="1">
        <v>8</v>
      </c>
      <c r="B199" s="1">
        <f>IF(H199=1,MAX(21-A199,0),0)</f>
        <v>13</v>
      </c>
      <c r="C199" s="1" t="s">
        <v>354</v>
      </c>
      <c r="D199" s="1" t="s">
        <v>81</v>
      </c>
      <c r="E199" s="3" t="s">
        <v>91</v>
      </c>
      <c r="F199" s="32" t="s">
        <v>1348</v>
      </c>
      <c r="G199" s="1" t="s">
        <v>399</v>
      </c>
      <c r="H199" s="24">
        <f>COUNTIF(ValidTeams[],E199)</f>
        <v>1</v>
      </c>
    </row>
    <row r="200" spans="1:8" x14ac:dyDescent="0.25">
      <c r="A200" s="6"/>
      <c r="B200" s="6"/>
      <c r="C200" s="6"/>
      <c r="D200" s="6"/>
      <c r="E200" s="21"/>
      <c r="F200" s="33"/>
      <c r="G200" s="6"/>
      <c r="H200" s="34"/>
    </row>
    <row r="201" spans="1:8" x14ac:dyDescent="0.25">
      <c r="A201" s="4" t="s">
        <v>0</v>
      </c>
      <c r="B201" s="4" t="s">
        <v>73</v>
      </c>
      <c r="C201" s="4" t="s">
        <v>1</v>
      </c>
      <c r="D201" s="4" t="s">
        <v>2</v>
      </c>
      <c r="E201" s="5" t="s">
        <v>3</v>
      </c>
      <c r="F201" s="31" t="s">
        <v>4</v>
      </c>
      <c r="G201" s="4" t="s">
        <v>5</v>
      </c>
      <c r="H201" s="4" t="s">
        <v>72</v>
      </c>
    </row>
    <row r="202" spans="1:8" x14ac:dyDescent="0.25">
      <c r="A202" s="1">
        <v>1</v>
      </c>
      <c r="B202">
        <f t="shared" ref="B202:B214" si="11">IF(H202=1,MAX(21-A202,0),0)</f>
        <v>0</v>
      </c>
      <c r="C202" s="1" t="s">
        <v>1228</v>
      </c>
      <c r="D202" s="1" t="s">
        <v>225</v>
      </c>
      <c r="E202" s="3" t="s">
        <v>1229</v>
      </c>
      <c r="F202" s="32" t="s">
        <v>1230</v>
      </c>
      <c r="G202" s="1" t="s">
        <v>405</v>
      </c>
      <c r="H202" s="6">
        <f>COUNTIF(ValidTeams[],E202)</f>
        <v>0</v>
      </c>
    </row>
    <row r="203" spans="1:8" x14ac:dyDescent="0.25">
      <c r="A203" s="1">
        <v>2</v>
      </c>
      <c r="B203">
        <f t="shared" si="11"/>
        <v>19</v>
      </c>
      <c r="C203" s="1" t="s">
        <v>1231</v>
      </c>
      <c r="D203" s="1" t="s">
        <v>1232</v>
      </c>
      <c r="E203" s="3" t="s">
        <v>226</v>
      </c>
      <c r="F203" s="32" t="s">
        <v>1233</v>
      </c>
      <c r="G203" s="1" t="s">
        <v>405</v>
      </c>
      <c r="H203" s="6">
        <f>COUNTIF(ValidTeams[],E203)</f>
        <v>1</v>
      </c>
    </row>
    <row r="204" spans="1:8" x14ac:dyDescent="0.25">
      <c r="A204" s="1">
        <v>3</v>
      </c>
      <c r="B204">
        <f t="shared" si="11"/>
        <v>18</v>
      </c>
      <c r="C204" s="1" t="s">
        <v>1234</v>
      </c>
      <c r="D204" s="1" t="s">
        <v>1235</v>
      </c>
      <c r="E204" s="3" t="s">
        <v>1236</v>
      </c>
      <c r="F204" s="32" t="s">
        <v>1237</v>
      </c>
      <c r="G204" s="1" t="s">
        <v>405</v>
      </c>
      <c r="H204" s="6">
        <f>COUNTIF(ValidTeams[],E204)</f>
        <v>1</v>
      </c>
    </row>
    <row r="205" spans="1:8" x14ac:dyDescent="0.25">
      <c r="A205" s="1">
        <v>4</v>
      </c>
      <c r="B205">
        <f t="shared" si="11"/>
        <v>17</v>
      </c>
      <c r="C205" s="1" t="s">
        <v>1238</v>
      </c>
      <c r="D205" s="1" t="s">
        <v>1239</v>
      </c>
      <c r="E205" s="3" t="s">
        <v>407</v>
      </c>
      <c r="F205" s="32" t="s">
        <v>1240</v>
      </c>
      <c r="G205" s="1" t="s">
        <v>405</v>
      </c>
      <c r="H205" s="6">
        <f>COUNTIF(ValidTeams[],E205)</f>
        <v>1</v>
      </c>
    </row>
    <row r="206" spans="1:8" x14ac:dyDescent="0.25">
      <c r="A206" s="1">
        <v>5</v>
      </c>
      <c r="B206">
        <f t="shared" si="11"/>
        <v>16</v>
      </c>
      <c r="C206" s="1" t="s">
        <v>411</v>
      </c>
      <c r="D206" s="1" t="s">
        <v>412</v>
      </c>
      <c r="E206" s="3" t="s">
        <v>413</v>
      </c>
      <c r="F206" s="32" t="s">
        <v>863</v>
      </c>
      <c r="G206" s="1" t="s">
        <v>405</v>
      </c>
      <c r="H206" s="6">
        <f>COUNTIF(ValidTeams[],E206)</f>
        <v>1</v>
      </c>
    </row>
    <row r="207" spans="1:8" x14ac:dyDescent="0.25">
      <c r="A207" s="1">
        <v>6</v>
      </c>
      <c r="B207">
        <f t="shared" si="11"/>
        <v>15</v>
      </c>
      <c r="C207" s="1" t="s">
        <v>409</v>
      </c>
      <c r="D207" s="1" t="s">
        <v>225</v>
      </c>
      <c r="E207" s="3" t="s">
        <v>88</v>
      </c>
      <c r="F207" s="32" t="s">
        <v>1241</v>
      </c>
      <c r="G207" s="1" t="s">
        <v>405</v>
      </c>
      <c r="H207" s="6">
        <f>COUNTIF(ValidTeams[],E207)</f>
        <v>1</v>
      </c>
    </row>
    <row r="208" spans="1:8" x14ac:dyDescent="0.25">
      <c r="A208" s="1">
        <v>7</v>
      </c>
      <c r="B208">
        <f t="shared" si="11"/>
        <v>14</v>
      </c>
      <c r="C208" s="1" t="s">
        <v>768</v>
      </c>
      <c r="D208" s="1" t="s">
        <v>116</v>
      </c>
      <c r="E208" s="3" t="s">
        <v>407</v>
      </c>
      <c r="F208" s="32" t="s">
        <v>1242</v>
      </c>
      <c r="G208" s="1" t="s">
        <v>405</v>
      </c>
      <c r="H208" s="6">
        <f>COUNTIF(ValidTeams[],E208)</f>
        <v>1</v>
      </c>
    </row>
    <row r="209" spans="1:8" x14ac:dyDescent="0.25">
      <c r="A209" s="1">
        <v>8</v>
      </c>
      <c r="B209" s="1">
        <f t="shared" si="11"/>
        <v>13</v>
      </c>
      <c r="C209" s="1" t="s">
        <v>415</v>
      </c>
      <c r="D209" s="1" t="s">
        <v>23</v>
      </c>
      <c r="E209" s="3" t="s">
        <v>38</v>
      </c>
      <c r="F209" s="32" t="s">
        <v>1243</v>
      </c>
      <c r="G209" s="1" t="s">
        <v>405</v>
      </c>
      <c r="H209" s="24">
        <f>COUNTIF(ValidTeams[],E209)</f>
        <v>1</v>
      </c>
    </row>
    <row r="210" spans="1:8" x14ac:dyDescent="0.25">
      <c r="A210" s="1">
        <v>9</v>
      </c>
      <c r="B210" s="1">
        <f t="shared" si="11"/>
        <v>12</v>
      </c>
      <c r="C210" s="1" t="s">
        <v>417</v>
      </c>
      <c r="D210" s="1" t="s">
        <v>30</v>
      </c>
      <c r="E210" s="3" t="s">
        <v>418</v>
      </c>
      <c r="F210" s="32" t="s">
        <v>1244</v>
      </c>
      <c r="G210" s="1" t="s">
        <v>405</v>
      </c>
      <c r="H210" s="24">
        <f>COUNTIF(ValidTeams[],E210)</f>
        <v>1</v>
      </c>
    </row>
    <row r="211" spans="1:8" x14ac:dyDescent="0.25">
      <c r="A211" s="1">
        <v>10</v>
      </c>
      <c r="B211" s="1">
        <f t="shared" si="11"/>
        <v>0</v>
      </c>
      <c r="C211" s="1" t="s">
        <v>993</v>
      </c>
      <c r="D211" s="1" t="s">
        <v>194</v>
      </c>
      <c r="E211" s="3" t="s">
        <v>994</v>
      </c>
      <c r="F211" s="32" t="s">
        <v>1245</v>
      </c>
      <c r="G211" s="1" t="s">
        <v>405</v>
      </c>
      <c r="H211" s="24">
        <f>COUNTIF(ValidTeams[],E211)</f>
        <v>0</v>
      </c>
    </row>
    <row r="212" spans="1:8" x14ac:dyDescent="0.25">
      <c r="A212" s="1">
        <v>11</v>
      </c>
      <c r="B212" s="1">
        <f t="shared" si="11"/>
        <v>10</v>
      </c>
      <c r="C212" s="1" t="s">
        <v>999</v>
      </c>
      <c r="D212" s="1" t="s">
        <v>174</v>
      </c>
      <c r="E212" s="3" t="s">
        <v>18</v>
      </c>
      <c r="F212" s="32" t="s">
        <v>1246</v>
      </c>
      <c r="G212" s="1" t="s">
        <v>405</v>
      </c>
      <c r="H212" s="24">
        <f>COUNTIF(ValidTeams[],E212)</f>
        <v>1</v>
      </c>
    </row>
    <row r="213" spans="1:8" x14ac:dyDescent="0.25">
      <c r="A213" s="1">
        <v>12</v>
      </c>
      <c r="B213" s="1">
        <f t="shared" si="11"/>
        <v>9</v>
      </c>
      <c r="C213" s="1" t="s">
        <v>902</v>
      </c>
      <c r="D213" s="1" t="s">
        <v>318</v>
      </c>
      <c r="E213" s="3" t="s">
        <v>222</v>
      </c>
      <c r="F213" s="32" t="s">
        <v>1018</v>
      </c>
      <c r="G213" s="1" t="s">
        <v>405</v>
      </c>
      <c r="H213" s="24">
        <f>COUNTIF(ValidTeams[],E213)</f>
        <v>1</v>
      </c>
    </row>
    <row r="214" spans="1:8" x14ac:dyDescent="0.25">
      <c r="A214" s="1">
        <v>13</v>
      </c>
      <c r="B214" s="1">
        <f t="shared" si="11"/>
        <v>0</v>
      </c>
      <c r="C214" s="1" t="s">
        <v>1003</v>
      </c>
      <c r="D214" s="1" t="s">
        <v>257</v>
      </c>
      <c r="E214" s="3" t="s">
        <v>679</v>
      </c>
      <c r="F214" s="32" t="s">
        <v>1247</v>
      </c>
      <c r="G214" s="1" t="s">
        <v>405</v>
      </c>
      <c r="H214" s="24">
        <f>COUNTIF(ValidTeams[],E214)</f>
        <v>0</v>
      </c>
    </row>
    <row r="215" spans="1:8" x14ac:dyDescent="0.25">
      <c r="A215" s="6"/>
      <c r="B215" s="6"/>
      <c r="C215" s="6"/>
      <c r="D215" s="6"/>
      <c r="E215" s="21"/>
      <c r="F215" s="33"/>
      <c r="G215" s="6"/>
      <c r="H215" s="34"/>
    </row>
    <row r="216" spans="1:8" x14ac:dyDescent="0.25">
      <c r="A216" s="4" t="s">
        <v>0</v>
      </c>
      <c r="B216" s="4" t="s">
        <v>73</v>
      </c>
      <c r="C216" s="4" t="s">
        <v>1</v>
      </c>
      <c r="D216" s="4" t="s">
        <v>2</v>
      </c>
      <c r="E216" s="5" t="s">
        <v>3</v>
      </c>
      <c r="F216" s="31" t="s">
        <v>4</v>
      </c>
      <c r="G216" s="4" t="s">
        <v>5</v>
      </c>
      <c r="H216" s="4" t="s">
        <v>72</v>
      </c>
    </row>
    <row r="217" spans="1:8" x14ac:dyDescent="0.25">
      <c r="A217" s="1">
        <v>1</v>
      </c>
      <c r="B217">
        <f t="shared" ref="B217:B219" si="12">IF(H217=1,MAX(21-A217,0),0)</f>
        <v>20</v>
      </c>
      <c r="C217" s="1" t="s">
        <v>577</v>
      </c>
      <c r="D217" s="1" t="s">
        <v>680</v>
      </c>
      <c r="E217" s="21" t="s">
        <v>681</v>
      </c>
      <c r="F217" s="32" t="s">
        <v>1349</v>
      </c>
      <c r="G217" s="1" t="s">
        <v>426</v>
      </c>
      <c r="H217" s="6">
        <f>COUNTIF(ValidTeams[],E217)</f>
        <v>1</v>
      </c>
    </row>
    <row r="218" spans="1:8" x14ac:dyDescent="0.25">
      <c r="A218" s="1">
        <v>2</v>
      </c>
      <c r="B218">
        <f t="shared" si="12"/>
        <v>19</v>
      </c>
      <c r="C218" s="1" t="s">
        <v>1350</v>
      </c>
      <c r="D218" s="1" t="s">
        <v>1351</v>
      </c>
      <c r="E218" s="3" t="s">
        <v>1236</v>
      </c>
      <c r="F218" s="32" t="s">
        <v>1352</v>
      </c>
      <c r="G218" s="1" t="s">
        <v>426</v>
      </c>
      <c r="H218" s="6">
        <f>COUNTIF(ValidTeams[],E218)</f>
        <v>1</v>
      </c>
    </row>
    <row r="219" spans="1:8" x14ac:dyDescent="0.25">
      <c r="A219" s="1">
        <v>3</v>
      </c>
      <c r="B219">
        <f t="shared" si="12"/>
        <v>18</v>
      </c>
      <c r="C219" s="1" t="s">
        <v>669</v>
      </c>
      <c r="D219" s="1" t="s">
        <v>684</v>
      </c>
      <c r="E219" s="3" t="s">
        <v>49</v>
      </c>
      <c r="F219" s="32" t="s">
        <v>1353</v>
      </c>
      <c r="G219" s="1" t="s">
        <v>426</v>
      </c>
      <c r="H219" s="6">
        <f>COUNTIF(ValidTeams[],E219)</f>
        <v>1</v>
      </c>
    </row>
    <row r="220" spans="1:8" x14ac:dyDescent="0.25">
      <c r="A220" s="1">
        <v>4</v>
      </c>
      <c r="B220" s="1">
        <f t="shared" ref="B220:B225" si="13">IF(H220=1,MAX(21-A220,0),0)</f>
        <v>0</v>
      </c>
      <c r="C220" s="1" t="s">
        <v>273</v>
      </c>
      <c r="D220" s="1" t="s">
        <v>925</v>
      </c>
      <c r="E220" s="3" t="s">
        <v>926</v>
      </c>
      <c r="F220" s="32" t="s">
        <v>1354</v>
      </c>
      <c r="G220" s="1" t="s">
        <v>426</v>
      </c>
      <c r="H220" s="24">
        <f>COUNTIF(ValidTeams[],E220)</f>
        <v>0</v>
      </c>
    </row>
    <row r="221" spans="1:8" x14ac:dyDescent="0.25">
      <c r="A221" s="1">
        <v>5</v>
      </c>
      <c r="B221" s="1">
        <f t="shared" si="13"/>
        <v>16</v>
      </c>
      <c r="C221" s="1" t="s">
        <v>427</v>
      </c>
      <c r="D221" s="1" t="s">
        <v>428</v>
      </c>
      <c r="E221" s="3" t="s">
        <v>1236</v>
      </c>
      <c r="F221" s="32" t="s">
        <v>1355</v>
      </c>
      <c r="G221" s="1" t="s">
        <v>426</v>
      </c>
      <c r="H221" s="24">
        <f>COUNTIF(ValidTeams[],E221)</f>
        <v>1</v>
      </c>
    </row>
    <row r="222" spans="1:8" x14ac:dyDescent="0.25">
      <c r="A222" s="1">
        <v>6</v>
      </c>
      <c r="B222" s="1">
        <f t="shared" si="13"/>
        <v>15</v>
      </c>
      <c r="C222" s="1" t="s">
        <v>935</v>
      </c>
      <c r="D222" s="1" t="s">
        <v>936</v>
      </c>
      <c r="E222" s="3" t="s">
        <v>49</v>
      </c>
      <c r="F222" s="32" t="s">
        <v>1356</v>
      </c>
      <c r="G222" s="1" t="s">
        <v>426</v>
      </c>
      <c r="H222" s="24">
        <f>COUNTIF(ValidTeams[],E222)</f>
        <v>1</v>
      </c>
    </row>
    <row r="223" spans="1:8" x14ac:dyDescent="0.25">
      <c r="A223" s="1">
        <v>7</v>
      </c>
      <c r="B223" s="1">
        <f t="shared" si="13"/>
        <v>0</v>
      </c>
      <c r="C223" s="1" t="s">
        <v>1357</v>
      </c>
      <c r="D223" s="1" t="s">
        <v>1358</v>
      </c>
      <c r="E223" s="3" t="s">
        <v>745</v>
      </c>
      <c r="F223" s="32" t="s">
        <v>1359</v>
      </c>
      <c r="G223" s="1" t="s">
        <v>426</v>
      </c>
      <c r="H223" s="24">
        <f>COUNTIF(ValidTeams[],E223)</f>
        <v>0</v>
      </c>
    </row>
    <row r="224" spans="1:8" x14ac:dyDescent="0.25">
      <c r="A224" s="1">
        <v>8</v>
      </c>
      <c r="B224" s="1">
        <f t="shared" si="13"/>
        <v>13</v>
      </c>
      <c r="C224" s="1" t="s">
        <v>1360</v>
      </c>
      <c r="D224" s="1" t="s">
        <v>1361</v>
      </c>
      <c r="E224" s="3" t="s">
        <v>1362</v>
      </c>
      <c r="F224" s="32" t="s">
        <v>1363</v>
      </c>
      <c r="G224" s="1" t="s">
        <v>426</v>
      </c>
      <c r="H224" s="24">
        <f>COUNTIF(ValidTeams[],E224)</f>
        <v>1</v>
      </c>
    </row>
    <row r="225" spans="1:8" x14ac:dyDescent="0.25">
      <c r="A225" s="1">
        <v>9</v>
      </c>
      <c r="B225" s="1">
        <f t="shared" si="13"/>
        <v>12</v>
      </c>
      <c r="C225" s="1" t="s">
        <v>430</v>
      </c>
      <c r="D225" s="1" t="s">
        <v>431</v>
      </c>
      <c r="E225" s="3" t="s">
        <v>100</v>
      </c>
      <c r="F225" s="32" t="s">
        <v>1364</v>
      </c>
      <c r="G225" s="1" t="s">
        <v>426</v>
      </c>
      <c r="H225" s="24">
        <f>COUNTIF(ValidTeams[],E225)</f>
        <v>1</v>
      </c>
    </row>
    <row r="226" spans="1:8" x14ac:dyDescent="0.25">
      <c r="F226" s="29"/>
    </row>
    <row r="227" spans="1:8" x14ac:dyDescent="0.25">
      <c r="F227" s="29"/>
    </row>
    <row r="228" spans="1:8" x14ac:dyDescent="0.25">
      <c r="F228" s="29"/>
    </row>
    <row r="229" spans="1:8" x14ac:dyDescent="0.25">
      <c r="F229" s="29"/>
    </row>
    <row r="230" spans="1:8" x14ac:dyDescent="0.25">
      <c r="F230" s="29"/>
    </row>
    <row r="231" spans="1:8" x14ac:dyDescent="0.25">
      <c r="F231" s="29"/>
    </row>
    <row r="232" spans="1:8" x14ac:dyDescent="0.25">
      <c r="F232" s="29"/>
    </row>
    <row r="233" spans="1:8" x14ac:dyDescent="0.25">
      <c r="F233" s="29"/>
    </row>
    <row r="234" spans="1:8" x14ac:dyDescent="0.25">
      <c r="F234" s="29"/>
    </row>
    <row r="235" spans="1:8" x14ac:dyDescent="0.25">
      <c r="F235" s="29"/>
    </row>
    <row r="236" spans="1:8" x14ac:dyDescent="0.25">
      <c r="F236" s="29"/>
    </row>
    <row r="237" spans="1:8" x14ac:dyDescent="0.25">
      <c r="F237" s="29"/>
    </row>
    <row r="238" spans="1:8" x14ac:dyDescent="0.25">
      <c r="F238" s="29"/>
    </row>
    <row r="239" spans="1:8" x14ac:dyDescent="0.25">
      <c r="F239" s="29"/>
    </row>
    <row r="240" spans="1:8" x14ac:dyDescent="0.25">
      <c r="F240" s="29"/>
    </row>
    <row r="241" spans="6:6" x14ac:dyDescent="0.25">
      <c r="F241" s="29"/>
    </row>
    <row r="242" spans="6:6" x14ac:dyDescent="0.25">
      <c r="F242" s="29"/>
    </row>
    <row r="243" spans="6:6" x14ac:dyDescent="0.25">
      <c r="F243" s="29"/>
    </row>
    <row r="244" spans="6:6" x14ac:dyDescent="0.25">
      <c r="F244" s="29"/>
    </row>
    <row r="245" spans="6:6" x14ac:dyDescent="0.25">
      <c r="F245" s="29"/>
    </row>
    <row r="246" spans="6:6" x14ac:dyDescent="0.25">
      <c r="F246" s="29"/>
    </row>
    <row r="247" spans="6:6" x14ac:dyDescent="0.25">
      <c r="F247" s="29"/>
    </row>
    <row r="248" spans="6:6" x14ac:dyDescent="0.25">
      <c r="F248" s="29"/>
    </row>
    <row r="249" spans="6:6" x14ac:dyDescent="0.25">
      <c r="F249" s="29"/>
    </row>
    <row r="250" spans="6:6" x14ac:dyDescent="0.25">
      <c r="F250" s="29"/>
    </row>
    <row r="251" spans="6:6" x14ac:dyDescent="0.25">
      <c r="F251" s="29"/>
    </row>
    <row r="252" spans="6:6" x14ac:dyDescent="0.25">
      <c r="F252" s="29"/>
    </row>
    <row r="253" spans="6:6" x14ac:dyDescent="0.25">
      <c r="F253" s="29"/>
    </row>
    <row r="254" spans="6:6" x14ac:dyDescent="0.25">
      <c r="F254" s="29"/>
    </row>
    <row r="255" spans="6:6" x14ac:dyDescent="0.25">
      <c r="F255" s="29"/>
    </row>
    <row r="256" spans="6:6" x14ac:dyDescent="0.25">
      <c r="F256" s="29"/>
    </row>
    <row r="257" spans="6:6" x14ac:dyDescent="0.25">
      <c r="F257" s="29"/>
    </row>
    <row r="258" spans="6:6" x14ac:dyDescent="0.25">
      <c r="F258" s="29"/>
    </row>
    <row r="259" spans="6:6" x14ac:dyDescent="0.25">
      <c r="F259" s="29"/>
    </row>
    <row r="260" spans="6:6" x14ac:dyDescent="0.25">
      <c r="F260" s="29"/>
    </row>
    <row r="261" spans="6:6" x14ac:dyDescent="0.25">
      <c r="F261" s="29"/>
    </row>
    <row r="262" spans="6:6" x14ac:dyDescent="0.25">
      <c r="F262" s="29"/>
    </row>
    <row r="263" spans="6:6" x14ac:dyDescent="0.25">
      <c r="F263" s="29"/>
    </row>
    <row r="264" spans="6:6" x14ac:dyDescent="0.25">
      <c r="F264" s="29"/>
    </row>
    <row r="265" spans="6:6" x14ac:dyDescent="0.25">
      <c r="F265" s="29"/>
    </row>
    <row r="266" spans="6:6" x14ac:dyDescent="0.25">
      <c r="F266" s="29"/>
    </row>
    <row r="267" spans="6:6" x14ac:dyDescent="0.25">
      <c r="F267" s="29"/>
    </row>
    <row r="268" spans="6:6" x14ac:dyDescent="0.25">
      <c r="F268" s="29"/>
    </row>
    <row r="269" spans="6:6" x14ac:dyDescent="0.25">
      <c r="F269" s="29"/>
    </row>
    <row r="270" spans="6:6" x14ac:dyDescent="0.25">
      <c r="F270" s="29"/>
    </row>
    <row r="271" spans="6:6" x14ac:dyDescent="0.25">
      <c r="F271" s="29"/>
    </row>
    <row r="272" spans="6:6" x14ac:dyDescent="0.25">
      <c r="F272" s="29"/>
    </row>
    <row r="273" spans="6:6" x14ac:dyDescent="0.25">
      <c r="F273" s="29"/>
    </row>
    <row r="274" spans="6:6" x14ac:dyDescent="0.25">
      <c r="F274" s="29"/>
    </row>
    <row r="275" spans="6:6" x14ac:dyDescent="0.25">
      <c r="F275" s="29"/>
    </row>
    <row r="276" spans="6:6" x14ac:dyDescent="0.25">
      <c r="F276" s="29"/>
    </row>
    <row r="277" spans="6:6" x14ac:dyDescent="0.25">
      <c r="F277" s="29"/>
    </row>
    <row r="278" spans="6:6" x14ac:dyDescent="0.25">
      <c r="F278" s="29"/>
    </row>
    <row r="279" spans="6:6" x14ac:dyDescent="0.25">
      <c r="F279" s="29"/>
    </row>
    <row r="280" spans="6:6" x14ac:dyDescent="0.25">
      <c r="F280" s="29"/>
    </row>
    <row r="281" spans="6:6" x14ac:dyDescent="0.25">
      <c r="F281" s="29"/>
    </row>
    <row r="282" spans="6:6" x14ac:dyDescent="0.25">
      <c r="F282" s="29"/>
    </row>
    <row r="283" spans="6:6" x14ac:dyDescent="0.25">
      <c r="F283" s="29"/>
    </row>
    <row r="284" spans="6:6" x14ac:dyDescent="0.25">
      <c r="F284" s="29"/>
    </row>
    <row r="285" spans="6:6" x14ac:dyDescent="0.25">
      <c r="F285" s="29"/>
    </row>
    <row r="286" spans="6:6" x14ac:dyDescent="0.25">
      <c r="F286" s="29"/>
    </row>
    <row r="287" spans="6:6" x14ac:dyDescent="0.25">
      <c r="F287" s="29"/>
    </row>
    <row r="288" spans="6:6" x14ac:dyDescent="0.25">
      <c r="F288" s="29"/>
    </row>
    <row r="289" spans="6:6" x14ac:dyDescent="0.25">
      <c r="F289" s="29"/>
    </row>
    <row r="290" spans="6:6" x14ac:dyDescent="0.25">
      <c r="F290" s="29"/>
    </row>
    <row r="291" spans="6:6" x14ac:dyDescent="0.25">
      <c r="F291" s="29"/>
    </row>
    <row r="292" spans="6:6" x14ac:dyDescent="0.25">
      <c r="F292" s="29"/>
    </row>
    <row r="293" spans="6:6" x14ac:dyDescent="0.25">
      <c r="F293" s="29"/>
    </row>
    <row r="294" spans="6:6" x14ac:dyDescent="0.25">
      <c r="F294" s="29"/>
    </row>
    <row r="295" spans="6:6" x14ac:dyDescent="0.25">
      <c r="F295" s="29"/>
    </row>
    <row r="296" spans="6:6" x14ac:dyDescent="0.25">
      <c r="F296" s="29"/>
    </row>
    <row r="297" spans="6:6" x14ac:dyDescent="0.25">
      <c r="F297" s="29"/>
    </row>
    <row r="298" spans="6:6" x14ac:dyDescent="0.25">
      <c r="F298" s="29"/>
    </row>
    <row r="299" spans="6:6" x14ac:dyDescent="0.25">
      <c r="F299" s="29"/>
    </row>
    <row r="300" spans="6:6" x14ac:dyDescent="0.25">
      <c r="F300" s="29"/>
    </row>
    <row r="301" spans="6:6" x14ac:dyDescent="0.25">
      <c r="F301" s="29"/>
    </row>
    <row r="302" spans="6:6" x14ac:dyDescent="0.25">
      <c r="F302" s="29"/>
    </row>
    <row r="303" spans="6:6" x14ac:dyDescent="0.25">
      <c r="F303" s="29"/>
    </row>
    <row r="304" spans="6:6" x14ac:dyDescent="0.25">
      <c r="F304" s="29"/>
    </row>
    <row r="305" spans="6:6" x14ac:dyDescent="0.25">
      <c r="F305" s="29"/>
    </row>
    <row r="306" spans="6:6" x14ac:dyDescent="0.25">
      <c r="F306" s="29"/>
    </row>
    <row r="307" spans="6:6" x14ac:dyDescent="0.25">
      <c r="F307" s="29"/>
    </row>
  </sheetData>
  <conditionalFormatting sqref="H1:H1048576">
    <cfRule type="cellIs" dxfId="1088" priority="2" operator="lessThan">
      <formula>1</formula>
    </cfRule>
  </conditionalFormatting>
  <conditionalFormatting sqref="E186">
    <cfRule type="expression" dxfId="1087" priority="1">
      <formula>"COUNTIF(K3:K47,E4)&lt;1"</formula>
    </cfRule>
  </conditionalFormatting>
  <pageMargins left="0.7" right="0.7" top="0.75" bottom="0.75" header="0.3" footer="0.3"/>
  <pageSetup scale="89" fitToHeight="0" orientation="landscape" horizontalDpi="4294967293" r:id="rId1"/>
  <tableParts count="1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D725C-D170-43CB-AEC0-A061C6A34FF0}">
  <sheetPr codeName="Sheet9">
    <pageSetUpPr fitToPage="1"/>
  </sheetPr>
  <dimension ref="A1:H308"/>
  <sheetViews>
    <sheetView topLeftCell="A172" zoomScaleNormal="100" workbookViewId="0">
      <selection activeCell="F225" sqref="E225:F225"/>
    </sheetView>
  </sheetViews>
  <sheetFormatPr defaultRowHeight="15" x14ac:dyDescent="0.25"/>
  <cols>
    <col min="2" max="2" width="17" customWidth="1"/>
    <col min="3" max="3" width="14.85546875" customWidth="1"/>
    <col min="4" max="4" width="12.28515625" customWidth="1"/>
    <col min="5" max="5" width="37.5703125" style="2" customWidth="1"/>
    <col min="6" max="6" width="15.140625" style="30" customWidth="1"/>
    <col min="7" max="7" width="21.140625" customWidth="1"/>
    <col min="10" max="10" width="12.7109375" customWidth="1"/>
    <col min="11" max="11" width="42.7109375" bestFit="1" customWidth="1"/>
    <col min="14" max="14" width="8.42578125" bestFit="1" customWidth="1"/>
  </cols>
  <sheetData>
    <row r="1" spans="1:8" x14ac:dyDescent="0.25">
      <c r="A1" t="s">
        <v>0</v>
      </c>
      <c r="B1" t="s">
        <v>73</v>
      </c>
      <c r="C1" t="s">
        <v>1</v>
      </c>
      <c r="D1" t="s">
        <v>2</v>
      </c>
      <c r="E1" t="s">
        <v>3</v>
      </c>
      <c r="F1" s="29" t="s">
        <v>4</v>
      </c>
      <c r="G1" t="s">
        <v>5</v>
      </c>
      <c r="H1" t="s">
        <v>458</v>
      </c>
    </row>
    <row r="2" spans="1:8" x14ac:dyDescent="0.25">
      <c r="A2">
        <v>1</v>
      </c>
      <c r="B2">
        <f t="shared" ref="B2:B20" si="0">IF(H2=1,MAX(21-A2,0),0)</f>
        <v>20</v>
      </c>
      <c r="C2" t="s">
        <v>6</v>
      </c>
      <c r="D2" t="s">
        <v>7</v>
      </c>
      <c r="E2" t="s">
        <v>8</v>
      </c>
      <c r="F2" s="29" t="s">
        <v>867</v>
      </c>
      <c r="G2" t="s">
        <v>9</v>
      </c>
      <c r="H2">
        <f>COUNTIF(ValidTeams[],E2)</f>
        <v>1</v>
      </c>
    </row>
    <row r="3" spans="1:8" x14ac:dyDescent="0.25">
      <c r="A3">
        <v>2</v>
      </c>
      <c r="B3">
        <f t="shared" si="0"/>
        <v>19</v>
      </c>
      <c r="C3" t="s">
        <v>513</v>
      </c>
      <c r="D3" t="s">
        <v>30</v>
      </c>
      <c r="E3" t="s">
        <v>442</v>
      </c>
      <c r="F3" s="29" t="s">
        <v>1366</v>
      </c>
      <c r="G3" t="s">
        <v>9</v>
      </c>
      <c r="H3">
        <f>COUNTIF(ValidTeams[],E3)</f>
        <v>1</v>
      </c>
    </row>
    <row r="4" spans="1:8" x14ac:dyDescent="0.25">
      <c r="A4">
        <v>3</v>
      </c>
      <c r="B4">
        <f t="shared" si="0"/>
        <v>0</v>
      </c>
      <c r="C4" t="s">
        <v>709</v>
      </c>
      <c r="D4" t="s">
        <v>524</v>
      </c>
      <c r="E4" t="s">
        <v>710</v>
      </c>
      <c r="F4" s="29" t="s">
        <v>1367</v>
      </c>
      <c r="G4" t="s">
        <v>9</v>
      </c>
      <c r="H4">
        <f>COUNTIF(ValidTeams[],E4)</f>
        <v>0</v>
      </c>
    </row>
    <row r="5" spans="1:8" x14ac:dyDescent="0.25">
      <c r="A5">
        <v>4</v>
      </c>
      <c r="B5">
        <f t="shared" si="0"/>
        <v>17</v>
      </c>
      <c r="C5" t="s">
        <v>13</v>
      </c>
      <c r="D5" t="s">
        <v>14</v>
      </c>
      <c r="E5" t="s">
        <v>15</v>
      </c>
      <c r="F5" s="29" t="s">
        <v>1368</v>
      </c>
      <c r="G5" t="s">
        <v>9</v>
      </c>
      <c r="H5">
        <f>COUNTIF(ValidTeams[],E5)</f>
        <v>1</v>
      </c>
    </row>
    <row r="6" spans="1:8" x14ac:dyDescent="0.25">
      <c r="A6">
        <v>5</v>
      </c>
      <c r="B6">
        <f t="shared" si="0"/>
        <v>0</v>
      </c>
      <c r="C6" t="s">
        <v>1369</v>
      </c>
      <c r="D6" t="s">
        <v>1239</v>
      </c>
      <c r="E6" t="s">
        <v>1370</v>
      </c>
      <c r="F6" s="29" t="s">
        <v>1371</v>
      </c>
      <c r="G6" t="s">
        <v>9</v>
      </c>
      <c r="H6">
        <f>COUNTIF(ValidTeams[],E6)</f>
        <v>0</v>
      </c>
    </row>
    <row r="7" spans="1:8" x14ac:dyDescent="0.25">
      <c r="A7">
        <v>6</v>
      </c>
      <c r="B7">
        <f t="shared" si="0"/>
        <v>0</v>
      </c>
      <c r="C7" t="s">
        <v>1372</v>
      </c>
      <c r="D7" t="s">
        <v>1373</v>
      </c>
      <c r="E7" t="s">
        <v>1374</v>
      </c>
      <c r="F7" s="29" t="s">
        <v>1375</v>
      </c>
      <c r="G7" t="s">
        <v>9</v>
      </c>
      <c r="H7">
        <f>COUNTIF(ValidTeams[],E7)</f>
        <v>0</v>
      </c>
    </row>
    <row r="8" spans="1:8" x14ac:dyDescent="0.25">
      <c r="A8">
        <v>7</v>
      </c>
      <c r="B8">
        <f t="shared" si="0"/>
        <v>14</v>
      </c>
      <c r="C8" t="s">
        <v>1376</v>
      </c>
      <c r="D8" t="s">
        <v>174</v>
      </c>
      <c r="E8" t="s">
        <v>230</v>
      </c>
      <c r="F8" s="29" t="s">
        <v>1169</v>
      </c>
      <c r="G8" t="s">
        <v>9</v>
      </c>
      <c r="H8">
        <f>COUNTIF(ValidTeams[],E8)</f>
        <v>1</v>
      </c>
    </row>
    <row r="9" spans="1:8" x14ac:dyDescent="0.25">
      <c r="A9">
        <v>8</v>
      </c>
      <c r="B9">
        <f t="shared" si="0"/>
        <v>13</v>
      </c>
      <c r="C9" t="s">
        <v>28</v>
      </c>
      <c r="D9" t="s">
        <v>20</v>
      </c>
      <c r="E9" t="s">
        <v>442</v>
      </c>
      <c r="F9" s="29" t="s">
        <v>1377</v>
      </c>
      <c r="G9" t="s">
        <v>9</v>
      </c>
      <c r="H9">
        <f>COUNTIF(ValidTeams[],E9)</f>
        <v>1</v>
      </c>
    </row>
    <row r="10" spans="1:8" x14ac:dyDescent="0.25">
      <c r="A10">
        <v>9</v>
      </c>
      <c r="B10">
        <f t="shared" si="0"/>
        <v>12</v>
      </c>
      <c r="C10" t="s">
        <v>32</v>
      </c>
      <c r="D10" t="s">
        <v>33</v>
      </c>
      <c r="E10" t="s">
        <v>34</v>
      </c>
      <c r="F10" s="29" t="s">
        <v>1378</v>
      </c>
      <c r="G10" t="s">
        <v>9</v>
      </c>
      <c r="H10">
        <f>COUNTIF(ValidTeams[],E10)</f>
        <v>1</v>
      </c>
    </row>
    <row r="11" spans="1:8" x14ac:dyDescent="0.25">
      <c r="A11">
        <v>10</v>
      </c>
      <c r="B11">
        <f t="shared" si="0"/>
        <v>0</v>
      </c>
      <c r="E11"/>
      <c r="F11" s="29"/>
      <c r="G11" t="s">
        <v>9</v>
      </c>
      <c r="H11">
        <f>COUNTIF(ValidTeams[],E11)</f>
        <v>0</v>
      </c>
    </row>
    <row r="12" spans="1:8" x14ac:dyDescent="0.25">
      <c r="A12">
        <v>11</v>
      </c>
      <c r="B12">
        <f t="shared" si="0"/>
        <v>0</v>
      </c>
      <c r="E12"/>
      <c r="F12" s="29"/>
      <c r="G12" t="s">
        <v>9</v>
      </c>
      <c r="H12">
        <f>COUNTIF(ValidTeams[],E12)</f>
        <v>0</v>
      </c>
    </row>
    <row r="13" spans="1:8" x14ac:dyDescent="0.25">
      <c r="A13">
        <v>12</v>
      </c>
      <c r="B13" s="23">
        <f t="shared" si="0"/>
        <v>0</v>
      </c>
      <c r="F13" s="29"/>
      <c r="G13" t="s">
        <v>9</v>
      </c>
      <c r="H13" s="23">
        <f>COUNTIF(ValidTeams[],E13)</f>
        <v>0</v>
      </c>
    </row>
    <row r="14" spans="1:8" x14ac:dyDescent="0.25">
      <c r="A14">
        <v>13</v>
      </c>
      <c r="B14" s="23">
        <f t="shared" si="0"/>
        <v>0</v>
      </c>
      <c r="F14" s="29"/>
      <c r="G14" t="s">
        <v>9</v>
      </c>
      <c r="H14" s="23">
        <f>COUNTIF(ValidTeams[],E14)</f>
        <v>0</v>
      </c>
    </row>
    <row r="15" spans="1:8" x14ac:dyDescent="0.25">
      <c r="A15">
        <v>14</v>
      </c>
      <c r="B15" s="23">
        <f t="shared" si="0"/>
        <v>0</v>
      </c>
      <c r="F15" s="29"/>
      <c r="G15" t="s">
        <v>9</v>
      </c>
      <c r="H15" s="23">
        <f>COUNTIF(ValidTeams[],E15)</f>
        <v>0</v>
      </c>
    </row>
    <row r="16" spans="1:8" x14ac:dyDescent="0.25">
      <c r="A16">
        <v>15</v>
      </c>
      <c r="B16" s="23">
        <f t="shared" si="0"/>
        <v>0</v>
      </c>
      <c r="F16" s="29"/>
      <c r="G16" t="s">
        <v>9</v>
      </c>
      <c r="H16" s="23">
        <f>COUNTIF(ValidTeams[],E16)</f>
        <v>0</v>
      </c>
    </row>
    <row r="17" spans="1:8" x14ac:dyDescent="0.25">
      <c r="A17">
        <v>16</v>
      </c>
      <c r="B17" s="23">
        <f t="shared" si="0"/>
        <v>0</v>
      </c>
      <c r="F17" s="29"/>
      <c r="G17" t="s">
        <v>9</v>
      </c>
      <c r="H17" s="23">
        <f>COUNTIF(ValidTeams[],E17)</f>
        <v>0</v>
      </c>
    </row>
    <row r="18" spans="1:8" x14ac:dyDescent="0.25">
      <c r="A18">
        <v>17</v>
      </c>
      <c r="B18" s="23">
        <f t="shared" si="0"/>
        <v>0</v>
      </c>
      <c r="F18" s="29"/>
      <c r="G18" t="s">
        <v>9</v>
      </c>
      <c r="H18" s="23">
        <f>COUNTIF(ValidTeams[],E18)</f>
        <v>0</v>
      </c>
    </row>
    <row r="19" spans="1:8" x14ac:dyDescent="0.25">
      <c r="A19">
        <v>18</v>
      </c>
      <c r="B19" s="23">
        <f t="shared" si="0"/>
        <v>0</v>
      </c>
      <c r="F19" s="29"/>
      <c r="G19" t="s">
        <v>9</v>
      </c>
      <c r="H19" s="23">
        <f>COUNTIF(ValidTeams[],E19)</f>
        <v>0</v>
      </c>
    </row>
    <row r="20" spans="1:8" x14ac:dyDescent="0.25">
      <c r="A20">
        <v>19</v>
      </c>
      <c r="B20" s="23">
        <f t="shared" si="0"/>
        <v>0</v>
      </c>
      <c r="F20" s="29"/>
      <c r="G20" t="s">
        <v>9</v>
      </c>
      <c r="H20" s="23">
        <f>COUNTIF(ValidTeams[],E20)</f>
        <v>0</v>
      </c>
    </row>
    <row r="21" spans="1:8" x14ac:dyDescent="0.25">
      <c r="A21">
        <v>20</v>
      </c>
      <c r="B21" s="23">
        <f>IF(H21=1,MAX(21-A21,0),0)</f>
        <v>0</v>
      </c>
      <c r="F21" s="29"/>
      <c r="G21" t="s">
        <v>9</v>
      </c>
      <c r="H21" s="23">
        <f>COUNTIF(ValidTeams[],E21)</f>
        <v>0</v>
      </c>
    </row>
    <row r="22" spans="1:8" x14ac:dyDescent="0.25">
      <c r="A22">
        <v>21</v>
      </c>
      <c r="B22" s="23">
        <f>IF(H22=1,MAX(21-A22,0),0)</f>
        <v>0</v>
      </c>
      <c r="F22" s="29"/>
      <c r="G22" t="s">
        <v>9</v>
      </c>
      <c r="H22" s="23">
        <f>COUNTIF(ValidTeams[],E22)</f>
        <v>0</v>
      </c>
    </row>
    <row r="23" spans="1:8" x14ac:dyDescent="0.25">
      <c r="A23">
        <v>22</v>
      </c>
      <c r="B23" s="23">
        <f>IF(H23=1,MAX(21-A23,0),0)</f>
        <v>0</v>
      </c>
      <c r="F23" s="29"/>
      <c r="G23" t="s">
        <v>9</v>
      </c>
      <c r="H23" s="23">
        <f>COUNTIF(ValidTeams[],E23)</f>
        <v>0</v>
      </c>
    </row>
    <row r="24" spans="1:8" x14ac:dyDescent="0.25">
      <c r="B24" s="23"/>
      <c r="F24" s="29"/>
      <c r="H24" s="23"/>
    </row>
    <row r="25" spans="1:8" x14ac:dyDescent="0.25">
      <c r="A25" t="s">
        <v>0</v>
      </c>
      <c r="B25" t="s">
        <v>73</v>
      </c>
      <c r="C25" t="s">
        <v>1</v>
      </c>
      <c r="D25" t="s">
        <v>2</v>
      </c>
      <c r="E25" t="s">
        <v>3</v>
      </c>
      <c r="F25" s="29" t="s">
        <v>4</v>
      </c>
      <c r="G25" t="s">
        <v>5</v>
      </c>
      <c r="H25" t="s">
        <v>72</v>
      </c>
    </row>
    <row r="26" spans="1:8" x14ac:dyDescent="0.25">
      <c r="A26">
        <v>1</v>
      </c>
      <c r="B26">
        <f t="shared" ref="B26:B35" si="1">IF(H26=1,MAX(21-A26,0),0)</f>
        <v>20</v>
      </c>
      <c r="C26" t="s">
        <v>36</v>
      </c>
      <c r="D26" t="s">
        <v>37</v>
      </c>
      <c r="E26" t="s">
        <v>38</v>
      </c>
      <c r="F26" s="29" t="s">
        <v>1379</v>
      </c>
      <c r="G26" t="s">
        <v>39</v>
      </c>
      <c r="H26">
        <f>COUNTIF(ValidTeams[],E26)</f>
        <v>1</v>
      </c>
    </row>
    <row r="27" spans="1:8" x14ac:dyDescent="0.25">
      <c r="A27">
        <v>2</v>
      </c>
      <c r="B27">
        <f t="shared" si="1"/>
        <v>19</v>
      </c>
      <c r="C27" t="s">
        <v>42</v>
      </c>
      <c r="D27" t="s">
        <v>43</v>
      </c>
      <c r="E27" t="s">
        <v>44</v>
      </c>
      <c r="F27" s="29" t="s">
        <v>1380</v>
      </c>
      <c r="G27" t="s">
        <v>39</v>
      </c>
      <c r="H27">
        <f>COUNTIF(ValidTeams[],E27)</f>
        <v>1</v>
      </c>
    </row>
    <row r="28" spans="1:8" x14ac:dyDescent="0.25">
      <c r="A28">
        <v>3</v>
      </c>
      <c r="B28">
        <f t="shared" si="1"/>
        <v>18</v>
      </c>
      <c r="C28" t="s">
        <v>32</v>
      </c>
      <c r="D28" t="s">
        <v>48</v>
      </c>
      <c r="E28" t="s">
        <v>49</v>
      </c>
      <c r="F28" s="29" t="s">
        <v>1381</v>
      </c>
      <c r="G28" t="s">
        <v>39</v>
      </c>
      <c r="H28">
        <f>COUNTIF(ValidTeams[],E28)</f>
        <v>1</v>
      </c>
    </row>
    <row r="29" spans="1:8" x14ac:dyDescent="0.25">
      <c r="A29">
        <v>4</v>
      </c>
      <c r="B29">
        <f t="shared" si="1"/>
        <v>17</v>
      </c>
      <c r="C29" t="s">
        <v>66</v>
      </c>
      <c r="D29" t="s">
        <v>67</v>
      </c>
      <c r="E29" t="s">
        <v>442</v>
      </c>
      <c r="F29" s="29" t="s">
        <v>1382</v>
      </c>
      <c r="G29" t="s">
        <v>39</v>
      </c>
      <c r="H29">
        <f>COUNTIF(ValidTeams[],E29)</f>
        <v>1</v>
      </c>
    </row>
    <row r="30" spans="1:8" x14ac:dyDescent="0.25">
      <c r="A30">
        <v>5</v>
      </c>
      <c r="B30">
        <f t="shared" si="1"/>
        <v>0</v>
      </c>
      <c r="E30"/>
      <c r="F30" s="29"/>
      <c r="G30" t="s">
        <v>39</v>
      </c>
      <c r="H30">
        <f>COUNTIF(ValidTeams[],E30)</f>
        <v>0</v>
      </c>
    </row>
    <row r="31" spans="1:8" x14ac:dyDescent="0.25">
      <c r="A31">
        <v>6</v>
      </c>
      <c r="B31">
        <f t="shared" si="1"/>
        <v>0</v>
      </c>
      <c r="E31"/>
      <c r="F31" s="29"/>
      <c r="G31" t="s">
        <v>39</v>
      </c>
      <c r="H31">
        <f>COUNTIF(ValidTeams[],E31)</f>
        <v>0</v>
      </c>
    </row>
    <row r="32" spans="1:8" x14ac:dyDescent="0.25">
      <c r="A32">
        <v>7</v>
      </c>
      <c r="B32">
        <f t="shared" si="1"/>
        <v>0</v>
      </c>
      <c r="E32"/>
      <c r="F32" s="28"/>
      <c r="G32" t="s">
        <v>39</v>
      </c>
      <c r="H32">
        <f>COUNTIF(ValidTeams[],E32)</f>
        <v>0</v>
      </c>
    </row>
    <row r="33" spans="1:8" x14ac:dyDescent="0.25">
      <c r="A33">
        <v>8</v>
      </c>
      <c r="B33">
        <f t="shared" si="1"/>
        <v>0</v>
      </c>
      <c r="E33"/>
      <c r="F33" s="28"/>
      <c r="G33" t="s">
        <v>39</v>
      </c>
      <c r="H33">
        <f>COUNTIF(ValidTeams[],E33)</f>
        <v>0</v>
      </c>
    </row>
    <row r="34" spans="1:8" x14ac:dyDescent="0.25">
      <c r="A34">
        <v>9</v>
      </c>
      <c r="B34">
        <f t="shared" si="1"/>
        <v>0</v>
      </c>
      <c r="E34"/>
      <c r="F34" s="28"/>
      <c r="G34" t="s">
        <v>39</v>
      </c>
      <c r="H34">
        <f>COUNTIF(ValidTeams[],E34)</f>
        <v>0</v>
      </c>
    </row>
    <row r="35" spans="1:8" x14ac:dyDescent="0.25">
      <c r="A35">
        <v>10</v>
      </c>
      <c r="B35">
        <f t="shared" si="1"/>
        <v>0</v>
      </c>
      <c r="E35"/>
      <c r="F35" s="28"/>
      <c r="G35" t="s">
        <v>39</v>
      </c>
      <c r="H35">
        <f>COUNTIF(ValidTeams[],E35)</f>
        <v>0</v>
      </c>
    </row>
    <row r="36" spans="1:8" x14ac:dyDescent="0.25">
      <c r="A36">
        <v>11</v>
      </c>
      <c r="B36" s="23">
        <f>IF(H36=1,MAX(21-A36,0),0)</f>
        <v>0</v>
      </c>
      <c r="F36" s="29"/>
      <c r="G36" t="s">
        <v>39</v>
      </c>
      <c r="H36" s="23">
        <f>COUNTIF(ValidTeams[],E36)</f>
        <v>0</v>
      </c>
    </row>
    <row r="37" spans="1:8" x14ac:dyDescent="0.25">
      <c r="A37">
        <v>12</v>
      </c>
      <c r="B37" s="23">
        <f>IF(H37=1,MAX(21-A37,0),0)</f>
        <v>0</v>
      </c>
      <c r="F37" s="29"/>
      <c r="G37" t="s">
        <v>39</v>
      </c>
      <c r="H37" s="23">
        <f>COUNTIF(ValidTeams[],E37)</f>
        <v>0</v>
      </c>
    </row>
    <row r="38" spans="1:8" x14ac:dyDescent="0.25">
      <c r="B38" s="23"/>
      <c r="F38" s="29"/>
      <c r="H38" s="23"/>
    </row>
    <row r="39" spans="1:8" x14ac:dyDescent="0.25">
      <c r="A39" t="s">
        <v>0</v>
      </c>
      <c r="B39" t="s">
        <v>73</v>
      </c>
      <c r="C39" t="s">
        <v>1</v>
      </c>
      <c r="D39" t="s">
        <v>2</v>
      </c>
      <c r="E39" s="2" t="s">
        <v>3</v>
      </c>
      <c r="F39" s="30" t="s">
        <v>4</v>
      </c>
      <c r="G39" t="s">
        <v>5</v>
      </c>
    </row>
    <row r="40" spans="1:8" x14ac:dyDescent="0.25">
      <c r="A40">
        <v>1</v>
      </c>
      <c r="B40">
        <v>20</v>
      </c>
      <c r="C40" t="s">
        <v>1259</v>
      </c>
      <c r="D40" t="s">
        <v>1104</v>
      </c>
      <c r="E40" s="2" t="s">
        <v>1383</v>
      </c>
      <c r="F40" s="29" t="s">
        <v>1384</v>
      </c>
      <c r="G40" t="s">
        <v>86</v>
      </c>
    </row>
    <row r="41" spans="1:8" x14ac:dyDescent="0.25">
      <c r="A41">
        <v>2</v>
      </c>
      <c r="B41">
        <v>19</v>
      </c>
      <c r="C41" t="s">
        <v>89</v>
      </c>
      <c r="D41" t="s">
        <v>90</v>
      </c>
      <c r="E41" s="2" t="s">
        <v>91</v>
      </c>
      <c r="F41" s="29" t="s">
        <v>1385</v>
      </c>
      <c r="G41" t="s">
        <v>86</v>
      </c>
    </row>
    <row r="42" spans="1:8" x14ac:dyDescent="0.25">
      <c r="A42">
        <v>3</v>
      </c>
      <c r="B42">
        <v>18</v>
      </c>
      <c r="F42" s="29"/>
      <c r="G42" t="s">
        <v>86</v>
      </c>
    </row>
    <row r="43" spans="1:8" x14ac:dyDescent="0.25">
      <c r="A43">
        <v>4</v>
      </c>
      <c r="B43">
        <v>17</v>
      </c>
      <c r="F43" s="29"/>
      <c r="G43" t="s">
        <v>86</v>
      </c>
    </row>
    <row r="44" spans="1:8" x14ac:dyDescent="0.25">
      <c r="A44">
        <v>5</v>
      </c>
      <c r="B44">
        <v>16</v>
      </c>
      <c r="F44" s="29"/>
      <c r="G44" t="s">
        <v>86</v>
      </c>
    </row>
    <row r="45" spans="1:8" x14ac:dyDescent="0.25">
      <c r="A45">
        <v>6</v>
      </c>
      <c r="B45">
        <v>15</v>
      </c>
      <c r="F45" s="29"/>
      <c r="G45" t="s">
        <v>86</v>
      </c>
    </row>
    <row r="46" spans="1:8" x14ac:dyDescent="0.25">
      <c r="F46" s="29"/>
    </row>
    <row r="47" spans="1:8" x14ac:dyDescent="0.25">
      <c r="A47" s="4" t="s">
        <v>0</v>
      </c>
      <c r="B47" s="4" t="s">
        <v>73</v>
      </c>
      <c r="C47" s="4" t="s">
        <v>1</v>
      </c>
      <c r="D47" s="4" t="s">
        <v>2</v>
      </c>
      <c r="E47" s="5" t="s">
        <v>3</v>
      </c>
      <c r="F47" s="31" t="s">
        <v>4</v>
      </c>
      <c r="G47" s="4" t="s">
        <v>5</v>
      </c>
    </row>
    <row r="48" spans="1:8" x14ac:dyDescent="0.25">
      <c r="A48" s="1">
        <v>1</v>
      </c>
      <c r="B48" s="1">
        <v>20</v>
      </c>
      <c r="C48" s="1" t="s">
        <v>98</v>
      </c>
      <c r="D48" s="1" t="s">
        <v>99</v>
      </c>
      <c r="E48" s="3" t="s">
        <v>100</v>
      </c>
      <c r="F48" s="32" t="s">
        <v>1386</v>
      </c>
      <c r="G48" s="1" t="s">
        <v>101</v>
      </c>
    </row>
    <row r="49" spans="1:7" x14ac:dyDescent="0.25">
      <c r="A49" s="1">
        <v>2</v>
      </c>
      <c r="B49" s="1">
        <v>19</v>
      </c>
      <c r="C49" s="1" t="s">
        <v>102</v>
      </c>
      <c r="D49" s="1" t="s">
        <v>103</v>
      </c>
      <c r="E49" s="3" t="s">
        <v>100</v>
      </c>
      <c r="F49" s="32" t="s">
        <v>1387</v>
      </c>
      <c r="G49" s="1" t="s">
        <v>101</v>
      </c>
    </row>
    <row r="50" spans="1:7" x14ac:dyDescent="0.25">
      <c r="A50" s="1">
        <v>3</v>
      </c>
      <c r="B50" s="1">
        <v>18</v>
      </c>
      <c r="C50" s="1" t="s">
        <v>104</v>
      </c>
      <c r="D50" s="1" t="s">
        <v>105</v>
      </c>
      <c r="E50" s="3" t="s">
        <v>100</v>
      </c>
      <c r="F50" s="32" t="s">
        <v>1388</v>
      </c>
      <c r="G50" s="1" t="s">
        <v>101</v>
      </c>
    </row>
    <row r="51" spans="1:7" x14ac:dyDescent="0.25">
      <c r="F51" s="29"/>
    </row>
    <row r="52" spans="1:7" x14ac:dyDescent="0.25">
      <c r="A52" s="4" t="s">
        <v>0</v>
      </c>
      <c r="B52" s="4" t="s">
        <v>73</v>
      </c>
      <c r="C52" s="4" t="s">
        <v>1</v>
      </c>
      <c r="D52" s="4" t="s">
        <v>2</v>
      </c>
      <c r="E52" s="5" t="s">
        <v>3</v>
      </c>
      <c r="F52" s="31" t="s">
        <v>4</v>
      </c>
      <c r="G52" s="4" t="s">
        <v>5</v>
      </c>
    </row>
    <row r="53" spans="1:7" x14ac:dyDescent="0.25">
      <c r="A53" s="1">
        <v>1</v>
      </c>
      <c r="B53" s="1">
        <v>20</v>
      </c>
      <c r="C53" s="1"/>
      <c r="D53" s="1"/>
      <c r="E53" s="3"/>
      <c r="F53" s="32"/>
      <c r="G53" s="1" t="s">
        <v>109</v>
      </c>
    </row>
    <row r="54" spans="1:7" x14ac:dyDescent="0.25">
      <c r="A54" s="1">
        <v>2</v>
      </c>
      <c r="B54" s="1">
        <v>19</v>
      </c>
      <c r="C54" s="1"/>
      <c r="D54" s="1"/>
      <c r="E54" s="3"/>
      <c r="F54" s="32"/>
      <c r="G54" s="1" t="s">
        <v>109</v>
      </c>
    </row>
    <row r="55" spans="1:7" x14ac:dyDescent="0.25">
      <c r="A55" s="1">
        <v>3</v>
      </c>
      <c r="B55" s="1">
        <v>18</v>
      </c>
      <c r="C55" s="1"/>
      <c r="D55" s="1"/>
      <c r="E55" s="3"/>
      <c r="F55" s="32"/>
      <c r="G55" s="1" t="s">
        <v>109</v>
      </c>
    </row>
    <row r="56" spans="1:7" x14ac:dyDescent="0.25">
      <c r="A56" s="6"/>
      <c r="B56" s="6"/>
      <c r="C56" s="6"/>
      <c r="D56" s="6"/>
      <c r="E56" s="21"/>
      <c r="F56" s="33"/>
      <c r="G56" s="6"/>
    </row>
    <row r="57" spans="1:7" x14ac:dyDescent="0.25">
      <c r="A57" s="4" t="s">
        <v>0</v>
      </c>
      <c r="B57" s="4" t="s">
        <v>73</v>
      </c>
      <c r="C57" s="4" t="s">
        <v>1</v>
      </c>
      <c r="D57" s="4" t="s">
        <v>2</v>
      </c>
      <c r="E57" s="5" t="s">
        <v>3</v>
      </c>
      <c r="F57" s="31" t="s">
        <v>4</v>
      </c>
      <c r="G57" s="4" t="s">
        <v>5</v>
      </c>
    </row>
    <row r="58" spans="1:7" x14ac:dyDescent="0.25">
      <c r="A58" s="1">
        <v>1</v>
      </c>
      <c r="B58" s="1">
        <v>20</v>
      </c>
      <c r="C58" s="1" t="s">
        <v>115</v>
      </c>
      <c r="D58" s="1" t="s">
        <v>116</v>
      </c>
      <c r="E58" s="3" t="s">
        <v>100</v>
      </c>
      <c r="F58" s="32" t="s">
        <v>1389</v>
      </c>
      <c r="G58" s="1" t="s">
        <v>112</v>
      </c>
    </row>
    <row r="59" spans="1:7" x14ac:dyDescent="0.25">
      <c r="A59" s="1">
        <v>2</v>
      </c>
      <c r="B59" s="1">
        <v>19</v>
      </c>
      <c r="C59" s="1" t="s">
        <v>104</v>
      </c>
      <c r="D59" s="1" t="s">
        <v>111</v>
      </c>
      <c r="E59" s="3" t="s">
        <v>100</v>
      </c>
      <c r="F59" s="32" t="s">
        <v>1390</v>
      </c>
      <c r="G59" s="1" t="s">
        <v>112</v>
      </c>
    </row>
    <row r="60" spans="1:7" x14ac:dyDescent="0.25">
      <c r="A60" s="6"/>
      <c r="B60" s="6"/>
      <c r="C60" s="6"/>
      <c r="D60" s="6"/>
      <c r="E60" s="21"/>
      <c r="F60" s="33"/>
      <c r="G60" s="6"/>
    </row>
    <row r="61" spans="1:7" x14ac:dyDescent="0.25">
      <c r="A61" s="4" t="s">
        <v>0</v>
      </c>
      <c r="B61" s="4" t="s">
        <v>73</v>
      </c>
      <c r="C61" s="4" t="s">
        <v>1</v>
      </c>
      <c r="D61" s="4" t="s">
        <v>2</v>
      </c>
      <c r="E61" s="5" t="s">
        <v>3</v>
      </c>
      <c r="F61" s="31" t="s">
        <v>4</v>
      </c>
      <c r="G61" s="4" t="s">
        <v>5</v>
      </c>
    </row>
    <row r="62" spans="1:7" x14ac:dyDescent="0.25">
      <c r="A62" s="1">
        <v>1</v>
      </c>
      <c r="B62" s="1">
        <v>20</v>
      </c>
      <c r="C62" s="1"/>
      <c r="D62" s="1"/>
      <c r="E62" s="3"/>
      <c r="F62" s="32"/>
      <c r="G62" s="1" t="s">
        <v>119</v>
      </c>
    </row>
    <row r="63" spans="1:7" x14ac:dyDescent="0.25">
      <c r="A63" s="1">
        <v>2</v>
      </c>
      <c r="B63" s="1">
        <v>19</v>
      </c>
      <c r="C63" s="1"/>
      <c r="D63" s="1"/>
      <c r="E63" s="3"/>
      <c r="F63" s="32"/>
      <c r="G63" s="1" t="s">
        <v>119</v>
      </c>
    </row>
    <row r="64" spans="1:7" x14ac:dyDescent="0.25">
      <c r="A64" s="6"/>
      <c r="B64" s="6"/>
      <c r="C64" s="6"/>
      <c r="D64" s="6"/>
      <c r="E64" s="21"/>
      <c r="F64" s="33"/>
      <c r="G64" s="6"/>
    </row>
    <row r="65" spans="1:8" x14ac:dyDescent="0.25">
      <c r="A65" s="4" t="s">
        <v>0</v>
      </c>
      <c r="B65" s="4" t="s">
        <v>73</v>
      </c>
      <c r="C65" s="4" t="s">
        <v>1</v>
      </c>
      <c r="D65" s="4" t="s">
        <v>2</v>
      </c>
      <c r="E65" s="5" t="s">
        <v>3</v>
      </c>
      <c r="F65" s="31" t="s">
        <v>4</v>
      </c>
      <c r="G65" s="4" t="s">
        <v>5</v>
      </c>
    </row>
    <row r="66" spans="1:8" x14ac:dyDescent="0.25">
      <c r="A66" s="1">
        <v>1</v>
      </c>
      <c r="B66" s="1">
        <v>20</v>
      </c>
      <c r="C66" s="1" t="s">
        <v>89</v>
      </c>
      <c r="D66" s="1" t="s">
        <v>120</v>
      </c>
      <c r="E66" s="3" t="s">
        <v>91</v>
      </c>
      <c r="F66" s="32" t="s">
        <v>1391</v>
      </c>
      <c r="G66" s="1" t="s">
        <v>121</v>
      </c>
    </row>
    <row r="67" spans="1:8" x14ac:dyDescent="0.25">
      <c r="F67" s="29"/>
    </row>
    <row r="68" spans="1:8" x14ac:dyDescent="0.25">
      <c r="A68" s="4" t="s">
        <v>0</v>
      </c>
      <c r="B68" s="4" t="s">
        <v>73</v>
      </c>
      <c r="C68" s="4" t="s">
        <v>1</v>
      </c>
      <c r="D68" s="4" t="s">
        <v>2</v>
      </c>
      <c r="E68" s="5" t="s">
        <v>3</v>
      </c>
      <c r="F68" s="31" t="s">
        <v>4</v>
      </c>
      <c r="G68" s="4" t="s">
        <v>5</v>
      </c>
      <c r="H68" s="4" t="s">
        <v>72</v>
      </c>
    </row>
    <row r="69" spans="1:8" x14ac:dyDescent="0.25">
      <c r="A69" s="1">
        <v>1</v>
      </c>
      <c r="B69">
        <f t="shared" ref="B69:B73" si="2">IF(H69=1,MAX(21-A69,0),0)</f>
        <v>20</v>
      </c>
      <c r="C69" s="1" t="s">
        <v>1392</v>
      </c>
      <c r="D69" s="1" t="s">
        <v>717</v>
      </c>
      <c r="E69" s="3" t="s">
        <v>456</v>
      </c>
      <c r="F69" s="32" t="s">
        <v>1393</v>
      </c>
      <c r="G69" s="1" t="s">
        <v>124</v>
      </c>
      <c r="H69" s="6">
        <f>COUNTIF(ValidTeams[],E69)</f>
        <v>1</v>
      </c>
    </row>
    <row r="70" spans="1:8" x14ac:dyDescent="0.25">
      <c r="A70" s="1">
        <v>2</v>
      </c>
      <c r="B70">
        <f t="shared" si="2"/>
        <v>0</v>
      </c>
      <c r="C70" s="1" t="s">
        <v>1259</v>
      </c>
      <c r="D70" s="1" t="s">
        <v>1239</v>
      </c>
      <c r="E70" s="3" t="s">
        <v>1260</v>
      </c>
      <c r="F70" s="32" t="s">
        <v>1394</v>
      </c>
      <c r="G70" s="1" t="s">
        <v>124</v>
      </c>
      <c r="H70" s="6">
        <f>COUNTIF(ValidTeams[],E70)</f>
        <v>0</v>
      </c>
    </row>
    <row r="71" spans="1:8" x14ac:dyDescent="0.25">
      <c r="A71">
        <v>3</v>
      </c>
      <c r="B71">
        <f t="shared" si="2"/>
        <v>18</v>
      </c>
      <c r="C71" t="s">
        <v>122</v>
      </c>
      <c r="D71" t="s">
        <v>123</v>
      </c>
      <c r="E71" t="s">
        <v>12</v>
      </c>
      <c r="F71" s="28">
        <v>1.4202546296296296E-2</v>
      </c>
      <c r="G71" t="s">
        <v>124</v>
      </c>
      <c r="H71">
        <f>COUNTIF(ValidTeams[],E71)</f>
        <v>1</v>
      </c>
    </row>
    <row r="72" spans="1:8" x14ac:dyDescent="0.25">
      <c r="A72">
        <v>4</v>
      </c>
      <c r="B72">
        <f t="shared" si="2"/>
        <v>17</v>
      </c>
      <c r="C72" t="s">
        <v>125</v>
      </c>
      <c r="D72" t="s">
        <v>126</v>
      </c>
      <c r="E72" t="s">
        <v>18</v>
      </c>
      <c r="F72" s="28">
        <v>1.4418981481481479E-2</v>
      </c>
      <c r="G72" t="s">
        <v>124</v>
      </c>
      <c r="H72">
        <f>COUNTIF(ValidTeams[],E72)</f>
        <v>1</v>
      </c>
    </row>
    <row r="73" spans="1:8" x14ac:dyDescent="0.25">
      <c r="A73">
        <v>5</v>
      </c>
      <c r="B73">
        <f t="shared" si="2"/>
        <v>16</v>
      </c>
      <c r="C73" t="s">
        <v>42</v>
      </c>
      <c r="D73" t="s">
        <v>174</v>
      </c>
      <c r="E73" t="s">
        <v>44</v>
      </c>
      <c r="F73" s="28">
        <v>1.4943287037037038E-2</v>
      </c>
      <c r="G73" t="s">
        <v>124</v>
      </c>
      <c r="H73">
        <f>COUNTIF(ValidTeams[],E73)</f>
        <v>1</v>
      </c>
    </row>
    <row r="74" spans="1:8" x14ac:dyDescent="0.25">
      <c r="A74" s="1">
        <v>6</v>
      </c>
      <c r="B74" s="24">
        <f>IF(H74=1,MAX(21-A74,0),0)</f>
        <v>0</v>
      </c>
      <c r="C74" s="1"/>
      <c r="D74" s="1"/>
      <c r="E74" s="3"/>
      <c r="F74" s="32"/>
      <c r="G74" s="1" t="s">
        <v>124</v>
      </c>
      <c r="H74" s="24">
        <f>COUNTIF(ValidTeams[],E74)</f>
        <v>0</v>
      </c>
    </row>
    <row r="75" spans="1:8" x14ac:dyDescent="0.25">
      <c r="A75" s="1">
        <v>7</v>
      </c>
      <c r="B75" s="24">
        <f>IF(H75=1,MAX(21-A75,0),0)</f>
        <v>0</v>
      </c>
      <c r="C75" s="1"/>
      <c r="D75" s="1"/>
      <c r="E75" s="3"/>
      <c r="F75" s="32"/>
      <c r="G75" s="1" t="s">
        <v>124</v>
      </c>
      <c r="H75" s="24">
        <f>COUNTIF(ValidTeams[],E75)</f>
        <v>0</v>
      </c>
    </row>
    <row r="76" spans="1:8" x14ac:dyDescent="0.25">
      <c r="A76" s="1">
        <v>8</v>
      </c>
      <c r="B76" s="24">
        <f>IF(H76=1,MAX(21-A76,0),0)</f>
        <v>0</v>
      </c>
      <c r="C76" s="1"/>
      <c r="D76" s="1"/>
      <c r="E76" s="3"/>
      <c r="F76" s="32"/>
      <c r="G76" s="1" t="s">
        <v>124</v>
      </c>
      <c r="H76" s="24">
        <f>COUNTIF(ValidTeams[],E76)</f>
        <v>0</v>
      </c>
    </row>
    <row r="77" spans="1:8" x14ac:dyDescent="0.25">
      <c r="A77" s="6"/>
      <c r="B77" s="34"/>
      <c r="C77" s="6"/>
      <c r="D77" s="6"/>
      <c r="E77" s="21"/>
      <c r="F77" s="33"/>
      <c r="G77" s="6"/>
      <c r="H77" s="34"/>
    </row>
    <row r="78" spans="1:8" x14ac:dyDescent="0.25">
      <c r="A78" s="4" t="s">
        <v>0</v>
      </c>
      <c r="B78" s="4" t="s">
        <v>73</v>
      </c>
      <c r="C78" s="4" t="s">
        <v>1</v>
      </c>
      <c r="D78" s="4" t="s">
        <v>2</v>
      </c>
      <c r="E78" s="5" t="s">
        <v>3</v>
      </c>
      <c r="F78" s="31" t="s">
        <v>4</v>
      </c>
      <c r="G78" s="4" t="s">
        <v>5</v>
      </c>
      <c r="H78" s="4" t="s">
        <v>72</v>
      </c>
    </row>
    <row r="79" spans="1:8" x14ac:dyDescent="0.25">
      <c r="A79" s="1">
        <v>1</v>
      </c>
      <c r="B79">
        <f t="shared" ref="B79:B84" si="3">IF(H79=1,MAX(21-A79,0),0)</f>
        <v>20</v>
      </c>
      <c r="C79" s="1" t="s">
        <v>134</v>
      </c>
      <c r="D79" s="1" t="s">
        <v>7</v>
      </c>
      <c r="E79" s="3" t="s">
        <v>34</v>
      </c>
      <c r="F79" s="32" t="s">
        <v>1395</v>
      </c>
      <c r="G79" s="1" t="s">
        <v>135</v>
      </c>
      <c r="H79" s="6">
        <f>COUNTIF(ValidTeams[],E79)</f>
        <v>1</v>
      </c>
    </row>
    <row r="80" spans="1:8" x14ac:dyDescent="0.25">
      <c r="A80" s="1">
        <v>2</v>
      </c>
      <c r="B80">
        <f t="shared" si="3"/>
        <v>19</v>
      </c>
      <c r="C80" s="1" t="s">
        <v>136</v>
      </c>
      <c r="D80" s="1" t="s">
        <v>137</v>
      </c>
      <c r="E80" s="3" t="s">
        <v>138</v>
      </c>
      <c r="F80" s="32" t="s">
        <v>1396</v>
      </c>
      <c r="G80" s="1" t="s">
        <v>135</v>
      </c>
      <c r="H80" s="6">
        <f>COUNTIF(ValidTeams[],E80)</f>
        <v>1</v>
      </c>
    </row>
    <row r="81" spans="1:8" x14ac:dyDescent="0.25">
      <c r="A81" s="1">
        <v>3</v>
      </c>
      <c r="B81">
        <f t="shared" si="3"/>
        <v>18</v>
      </c>
      <c r="C81" s="1" t="s">
        <v>807</v>
      </c>
      <c r="D81" s="1" t="s">
        <v>595</v>
      </c>
      <c r="E81" s="3" t="s">
        <v>808</v>
      </c>
      <c r="F81" s="32" t="s">
        <v>1397</v>
      </c>
      <c r="G81" s="1" t="s">
        <v>135</v>
      </c>
      <c r="H81" s="6">
        <f>COUNTIF(ValidTeams[],E81)</f>
        <v>1</v>
      </c>
    </row>
    <row r="82" spans="1:8" x14ac:dyDescent="0.25">
      <c r="A82" s="1">
        <v>4</v>
      </c>
      <c r="B82">
        <f t="shared" si="3"/>
        <v>17</v>
      </c>
      <c r="C82" s="1" t="s">
        <v>594</v>
      </c>
      <c r="D82" s="1" t="s">
        <v>595</v>
      </c>
      <c r="E82" s="3" t="s">
        <v>18</v>
      </c>
      <c r="F82" s="32" t="s">
        <v>1398</v>
      </c>
      <c r="G82" s="1" t="s">
        <v>135</v>
      </c>
      <c r="H82" s="6">
        <f>COUNTIF(ValidTeams[],E82)</f>
        <v>1</v>
      </c>
    </row>
    <row r="83" spans="1:8" x14ac:dyDescent="0.25">
      <c r="A83">
        <v>5</v>
      </c>
      <c r="B83">
        <f t="shared" si="3"/>
        <v>16</v>
      </c>
      <c r="C83" t="s">
        <v>1399</v>
      </c>
      <c r="D83" t="s">
        <v>244</v>
      </c>
      <c r="E83" t="s">
        <v>12</v>
      </c>
      <c r="F83" s="28">
        <v>1.456712962962963E-2</v>
      </c>
      <c r="G83" t="s">
        <v>135</v>
      </c>
      <c r="H83">
        <f>COUNTIF(ValidTeams[],E83)</f>
        <v>1</v>
      </c>
    </row>
    <row r="84" spans="1:8" x14ac:dyDescent="0.25">
      <c r="A84">
        <v>6</v>
      </c>
      <c r="B84">
        <f t="shared" si="3"/>
        <v>15</v>
      </c>
      <c r="C84" t="s">
        <v>169</v>
      </c>
      <c r="D84" t="s">
        <v>170</v>
      </c>
      <c r="E84" t="s">
        <v>171</v>
      </c>
      <c r="F84" s="28">
        <v>1.6953703703703703E-2</v>
      </c>
      <c r="G84" t="s">
        <v>135</v>
      </c>
      <c r="H84">
        <f>COUNTIF(ValidTeams[],E84)</f>
        <v>1</v>
      </c>
    </row>
    <row r="85" spans="1:8" x14ac:dyDescent="0.25">
      <c r="A85" s="1">
        <v>7</v>
      </c>
      <c r="B85" s="24">
        <f>IF(H85=1,MAX(21-A85,0),0)</f>
        <v>0</v>
      </c>
      <c r="C85" s="1"/>
      <c r="D85" s="1"/>
      <c r="E85" s="3"/>
      <c r="F85" s="32"/>
      <c r="G85" s="1" t="s">
        <v>135</v>
      </c>
      <c r="H85" s="24">
        <f>COUNTIF(ValidTeams[],E85)</f>
        <v>0</v>
      </c>
    </row>
    <row r="86" spans="1:8" x14ac:dyDescent="0.25">
      <c r="A86" s="1">
        <v>8</v>
      </c>
      <c r="B86" s="24">
        <f>IF(H86=1,MAX(21-A86,0),0)</f>
        <v>0</v>
      </c>
      <c r="C86" s="1"/>
      <c r="D86" s="1"/>
      <c r="E86" s="3"/>
      <c r="F86" s="32"/>
      <c r="G86" s="1" t="s">
        <v>135</v>
      </c>
      <c r="H86" s="24">
        <f>COUNTIF(ValidTeams[],E86)</f>
        <v>0</v>
      </c>
    </row>
    <row r="87" spans="1:8" x14ac:dyDescent="0.25">
      <c r="A87" s="1">
        <v>9</v>
      </c>
      <c r="B87" s="24">
        <f>IF(H87=1,MAX(21-A87,0),0)</f>
        <v>0</v>
      </c>
      <c r="C87" s="1"/>
      <c r="D87" s="1"/>
      <c r="E87" s="3"/>
      <c r="F87" s="32"/>
      <c r="G87" s="1" t="s">
        <v>135</v>
      </c>
      <c r="H87" s="24">
        <f>COUNTIF(ValidTeams[],E87)</f>
        <v>0</v>
      </c>
    </row>
    <row r="88" spans="1:8" x14ac:dyDescent="0.25">
      <c r="A88" s="1">
        <v>10</v>
      </c>
      <c r="B88" s="24">
        <f>IF(H88=1,MAX(21-A88,0),0)</f>
        <v>0</v>
      </c>
      <c r="C88" s="1"/>
      <c r="D88" s="1"/>
      <c r="E88" s="3"/>
      <c r="F88" s="32"/>
      <c r="G88" s="1" t="s">
        <v>135</v>
      </c>
      <c r="H88" s="24">
        <f>COUNTIF(ValidTeams[],E88)</f>
        <v>0</v>
      </c>
    </row>
    <row r="89" spans="1:8" x14ac:dyDescent="0.25">
      <c r="A89" s="6"/>
      <c r="B89" s="34"/>
      <c r="C89" s="6"/>
      <c r="D89" s="6"/>
      <c r="E89" s="21"/>
      <c r="F89" s="33"/>
      <c r="G89" s="6"/>
      <c r="H89" s="34"/>
    </row>
    <row r="90" spans="1:8" x14ac:dyDescent="0.25">
      <c r="A90" s="4" t="s">
        <v>0</v>
      </c>
      <c r="B90" s="4" t="s">
        <v>73</v>
      </c>
      <c r="C90" s="4" t="s">
        <v>1</v>
      </c>
      <c r="D90" s="4" t="s">
        <v>2</v>
      </c>
      <c r="E90" s="5" t="s">
        <v>3</v>
      </c>
      <c r="F90" s="31" t="s">
        <v>4</v>
      </c>
      <c r="G90" s="4" t="s">
        <v>5</v>
      </c>
      <c r="H90" s="4" t="s">
        <v>72</v>
      </c>
    </row>
    <row r="91" spans="1:8" x14ac:dyDescent="0.25">
      <c r="A91" s="1">
        <v>1</v>
      </c>
      <c r="B91">
        <f t="shared" ref="B91:B103" si="4">IF(H91=1,MAX(21-A91,0),0)</f>
        <v>20</v>
      </c>
      <c r="C91" s="1" t="s">
        <v>186</v>
      </c>
      <c r="D91" s="1" t="s">
        <v>187</v>
      </c>
      <c r="E91" s="3" t="s">
        <v>8</v>
      </c>
      <c r="F91" s="32" t="s">
        <v>1400</v>
      </c>
      <c r="G91" s="1" t="s">
        <v>178</v>
      </c>
      <c r="H91" s="6">
        <f>COUNTIF(ValidTeams[],E91)</f>
        <v>1</v>
      </c>
    </row>
    <row r="92" spans="1:8" x14ac:dyDescent="0.25">
      <c r="A92" s="1">
        <v>2</v>
      </c>
      <c r="B92">
        <f t="shared" si="4"/>
        <v>19</v>
      </c>
      <c r="C92" s="1" t="s">
        <v>66</v>
      </c>
      <c r="D92" s="1" t="s">
        <v>176</v>
      </c>
      <c r="E92" s="3" t="s">
        <v>442</v>
      </c>
      <c r="F92" s="32" t="s">
        <v>1401</v>
      </c>
      <c r="G92" s="1" t="s">
        <v>178</v>
      </c>
      <c r="H92" s="6">
        <f>COUNTIF(ValidTeams[],E92)</f>
        <v>1</v>
      </c>
    </row>
    <row r="93" spans="1:8" x14ac:dyDescent="0.25">
      <c r="A93" s="1">
        <v>3</v>
      </c>
      <c r="B93">
        <f t="shared" si="4"/>
        <v>18</v>
      </c>
      <c r="C93" s="1" t="s">
        <v>179</v>
      </c>
      <c r="D93" s="1" t="s">
        <v>24</v>
      </c>
      <c r="E93" s="3" t="s">
        <v>100</v>
      </c>
      <c r="F93" s="32" t="s">
        <v>1402</v>
      </c>
      <c r="G93" s="1" t="s">
        <v>178</v>
      </c>
      <c r="H93" s="6">
        <f>COUNTIF(ValidTeams[],E93)</f>
        <v>1</v>
      </c>
    </row>
    <row r="94" spans="1:8" x14ac:dyDescent="0.25">
      <c r="A94" s="1">
        <v>4</v>
      </c>
      <c r="B94">
        <f t="shared" si="4"/>
        <v>17</v>
      </c>
      <c r="C94" s="1" t="s">
        <v>181</v>
      </c>
      <c r="D94" s="1" t="s">
        <v>132</v>
      </c>
      <c r="E94" s="3" t="s">
        <v>34</v>
      </c>
      <c r="F94" s="32" t="s">
        <v>1403</v>
      </c>
      <c r="G94" s="1" t="s">
        <v>178</v>
      </c>
      <c r="H94" s="6">
        <f>COUNTIF(ValidTeams[],E94)</f>
        <v>1</v>
      </c>
    </row>
    <row r="95" spans="1:8" x14ac:dyDescent="0.25">
      <c r="A95" s="1">
        <v>5</v>
      </c>
      <c r="B95">
        <f t="shared" si="4"/>
        <v>16</v>
      </c>
      <c r="C95" s="1" t="s">
        <v>816</v>
      </c>
      <c r="D95" s="1" t="s">
        <v>817</v>
      </c>
      <c r="E95" s="3" t="s">
        <v>18</v>
      </c>
      <c r="F95" s="32" t="s">
        <v>1404</v>
      </c>
      <c r="G95" s="1" t="s">
        <v>178</v>
      </c>
      <c r="H95" s="6">
        <f>COUNTIF(ValidTeams[],E95)</f>
        <v>1</v>
      </c>
    </row>
    <row r="96" spans="1:8" x14ac:dyDescent="0.25">
      <c r="A96" s="1">
        <v>6</v>
      </c>
      <c r="B96">
        <f t="shared" si="4"/>
        <v>15</v>
      </c>
      <c r="C96" s="1" t="s">
        <v>193</v>
      </c>
      <c r="D96" s="1" t="s">
        <v>194</v>
      </c>
      <c r="E96" s="3" t="s">
        <v>442</v>
      </c>
      <c r="F96" s="32" t="s">
        <v>1405</v>
      </c>
      <c r="G96" s="1" t="s">
        <v>178</v>
      </c>
      <c r="H96" s="6">
        <f>COUNTIF(ValidTeams[],E96)</f>
        <v>1</v>
      </c>
    </row>
    <row r="97" spans="1:8" x14ac:dyDescent="0.25">
      <c r="A97" s="1">
        <v>7</v>
      </c>
      <c r="B97">
        <f t="shared" si="4"/>
        <v>14</v>
      </c>
      <c r="C97" s="1" t="s">
        <v>594</v>
      </c>
      <c r="D97" s="1" t="s">
        <v>595</v>
      </c>
      <c r="E97" s="3" t="s">
        <v>18</v>
      </c>
      <c r="F97" s="32" t="s">
        <v>1406</v>
      </c>
      <c r="G97" s="1" t="s">
        <v>178</v>
      </c>
      <c r="H97" s="6">
        <f>COUNTIF(ValidTeams[],E97)</f>
        <v>1</v>
      </c>
    </row>
    <row r="98" spans="1:8" x14ac:dyDescent="0.25">
      <c r="A98" s="1">
        <v>8</v>
      </c>
      <c r="B98">
        <f t="shared" si="4"/>
        <v>13</v>
      </c>
      <c r="C98" s="1" t="s">
        <v>550</v>
      </c>
      <c r="D98" s="1" t="s">
        <v>601</v>
      </c>
      <c r="E98" s="3" t="s">
        <v>691</v>
      </c>
      <c r="F98" s="32" t="s">
        <v>1407</v>
      </c>
      <c r="G98" s="1" t="s">
        <v>178</v>
      </c>
      <c r="H98" s="6">
        <f>COUNTIF(ValidTeams[],E98)</f>
        <v>1</v>
      </c>
    </row>
    <row r="99" spans="1:8" x14ac:dyDescent="0.25">
      <c r="A99" s="1">
        <v>9</v>
      </c>
      <c r="B99">
        <f t="shared" si="4"/>
        <v>12</v>
      </c>
      <c r="C99" s="1" t="s">
        <v>598</v>
      </c>
      <c r="D99" s="1" t="s">
        <v>599</v>
      </c>
      <c r="E99" s="3" t="s">
        <v>345</v>
      </c>
      <c r="F99" s="32" t="s">
        <v>1408</v>
      </c>
      <c r="G99" s="1" t="s">
        <v>178</v>
      </c>
      <c r="H99" s="6">
        <f>COUNTIF(ValidTeams[],E99)</f>
        <v>1</v>
      </c>
    </row>
    <row r="100" spans="1:8" x14ac:dyDescent="0.25">
      <c r="A100" s="1">
        <v>10</v>
      </c>
      <c r="B100">
        <f t="shared" si="4"/>
        <v>11</v>
      </c>
      <c r="C100" s="1" t="s">
        <v>196</v>
      </c>
      <c r="D100" s="1" t="s">
        <v>128</v>
      </c>
      <c r="E100" s="3" t="s">
        <v>38</v>
      </c>
      <c r="F100" s="32" t="s">
        <v>890</v>
      </c>
      <c r="G100" s="1" t="s">
        <v>178</v>
      </c>
      <c r="H100" s="6">
        <f>COUNTIF(ValidTeams[],E100)</f>
        <v>1</v>
      </c>
    </row>
    <row r="101" spans="1:8" x14ac:dyDescent="0.25">
      <c r="A101" s="1">
        <v>11</v>
      </c>
      <c r="B101">
        <f t="shared" si="4"/>
        <v>0</v>
      </c>
      <c r="C101" s="1" t="s">
        <v>1409</v>
      </c>
      <c r="D101" s="1" t="s">
        <v>1410</v>
      </c>
      <c r="E101" s="3" t="s">
        <v>1411</v>
      </c>
      <c r="F101" s="32" t="s">
        <v>977</v>
      </c>
      <c r="G101" s="1" t="s">
        <v>178</v>
      </c>
      <c r="H101" s="6">
        <f>COUNTIF(ValidTeams[],E101)</f>
        <v>0</v>
      </c>
    </row>
    <row r="102" spans="1:8" x14ac:dyDescent="0.25">
      <c r="A102" s="1">
        <v>12</v>
      </c>
      <c r="B102">
        <f t="shared" si="4"/>
        <v>0</v>
      </c>
      <c r="C102" s="1" t="s">
        <v>202</v>
      </c>
      <c r="D102" s="1" t="s">
        <v>194</v>
      </c>
      <c r="E102" s="3" t="s">
        <v>203</v>
      </c>
      <c r="F102" s="32" t="s">
        <v>1412</v>
      </c>
      <c r="G102" s="1" t="s">
        <v>178</v>
      </c>
      <c r="H102" s="6">
        <f>COUNTIF(ValidTeams[],E102)</f>
        <v>0</v>
      </c>
    </row>
    <row r="103" spans="1:8" x14ac:dyDescent="0.25">
      <c r="A103" s="1">
        <v>13</v>
      </c>
      <c r="B103">
        <f t="shared" si="4"/>
        <v>8</v>
      </c>
      <c r="C103" s="1" t="s">
        <v>89</v>
      </c>
      <c r="D103" s="1" t="s">
        <v>310</v>
      </c>
      <c r="E103" s="3" t="s">
        <v>91</v>
      </c>
      <c r="F103" s="32" t="s">
        <v>1413</v>
      </c>
      <c r="G103" s="1" t="s">
        <v>178</v>
      </c>
      <c r="H103" s="6">
        <f>COUNTIF(ValidTeams[],E103)</f>
        <v>1</v>
      </c>
    </row>
    <row r="104" spans="1:8" x14ac:dyDescent="0.25">
      <c r="F104" s="29"/>
    </row>
    <row r="105" spans="1:8" x14ac:dyDescent="0.25">
      <c r="A105" s="4" t="s">
        <v>0</v>
      </c>
      <c r="B105" s="4" t="s">
        <v>73</v>
      </c>
      <c r="C105" s="4" t="s">
        <v>1</v>
      </c>
      <c r="D105" s="4" t="s">
        <v>2</v>
      </c>
      <c r="E105" s="5" t="s">
        <v>3</v>
      </c>
      <c r="F105" s="31" t="s">
        <v>4</v>
      </c>
      <c r="G105" s="4" t="s">
        <v>5</v>
      </c>
      <c r="H105" s="4" t="s">
        <v>72</v>
      </c>
    </row>
    <row r="106" spans="1:8" x14ac:dyDescent="0.25">
      <c r="A106" s="1">
        <v>1</v>
      </c>
      <c r="B106">
        <f t="shared" ref="B106:B114" si="5">IF(H106=1,MAX(21-A106,0),0)</f>
        <v>20</v>
      </c>
      <c r="C106" s="1" t="s">
        <v>828</v>
      </c>
      <c r="D106" s="1" t="s">
        <v>829</v>
      </c>
      <c r="E106" s="3" t="s">
        <v>18</v>
      </c>
      <c r="F106" s="32" t="s">
        <v>1414</v>
      </c>
      <c r="G106" s="1" t="s">
        <v>217</v>
      </c>
      <c r="H106" s="6">
        <f>COUNTIF(ValidTeams[],E106)</f>
        <v>1</v>
      </c>
    </row>
    <row r="107" spans="1:8" x14ac:dyDescent="0.25">
      <c r="A107" s="1">
        <v>2</v>
      </c>
      <c r="B107">
        <f t="shared" si="5"/>
        <v>19</v>
      </c>
      <c r="C107" s="1" t="s">
        <v>1415</v>
      </c>
      <c r="D107" s="1" t="s">
        <v>257</v>
      </c>
      <c r="E107" s="3" t="s">
        <v>12</v>
      </c>
      <c r="F107" s="32" t="s">
        <v>1416</v>
      </c>
      <c r="G107" s="1" t="s">
        <v>217</v>
      </c>
      <c r="H107" s="6">
        <f>COUNTIF(ValidTeams[],E107)</f>
        <v>1</v>
      </c>
    </row>
    <row r="108" spans="1:8" x14ac:dyDescent="0.25">
      <c r="A108" s="1">
        <v>3</v>
      </c>
      <c r="B108">
        <f t="shared" si="5"/>
        <v>18</v>
      </c>
      <c r="C108" s="1" t="s">
        <v>218</v>
      </c>
      <c r="D108" s="1" t="s">
        <v>114</v>
      </c>
      <c r="E108" s="3" t="s">
        <v>18</v>
      </c>
      <c r="F108" s="32" t="s">
        <v>876</v>
      </c>
      <c r="G108" s="1" t="s">
        <v>217</v>
      </c>
      <c r="H108" s="6">
        <f>COUNTIF(ValidTeams[],E108)</f>
        <v>1</v>
      </c>
    </row>
    <row r="109" spans="1:8" x14ac:dyDescent="0.25">
      <c r="A109" s="1">
        <v>4</v>
      </c>
      <c r="B109">
        <f t="shared" si="5"/>
        <v>17</v>
      </c>
      <c r="C109" s="1" t="s">
        <v>214</v>
      </c>
      <c r="D109" s="1" t="s">
        <v>215</v>
      </c>
      <c r="E109" s="3" t="s">
        <v>18</v>
      </c>
      <c r="F109" s="32" t="s">
        <v>1417</v>
      </c>
      <c r="G109" s="1" t="s">
        <v>217</v>
      </c>
      <c r="H109" s="6">
        <f>COUNTIF(ValidTeams[],E109)</f>
        <v>1</v>
      </c>
    </row>
    <row r="110" spans="1:8" x14ac:dyDescent="0.25">
      <c r="A110" s="1">
        <v>5</v>
      </c>
      <c r="B110">
        <f t="shared" si="5"/>
        <v>16</v>
      </c>
      <c r="C110" s="1" t="s">
        <v>224</v>
      </c>
      <c r="D110" s="1" t="s">
        <v>225</v>
      </c>
      <c r="E110" s="3" t="s">
        <v>226</v>
      </c>
      <c r="F110" s="32" t="s">
        <v>1418</v>
      </c>
      <c r="G110" s="1" t="s">
        <v>217</v>
      </c>
      <c r="H110" s="6">
        <f>COUNTIF(ValidTeams[],E110)</f>
        <v>1</v>
      </c>
    </row>
    <row r="111" spans="1:8" x14ac:dyDescent="0.25">
      <c r="A111" s="1">
        <v>6</v>
      </c>
      <c r="B111">
        <f t="shared" si="5"/>
        <v>15</v>
      </c>
      <c r="C111" s="1" t="s">
        <v>844</v>
      </c>
      <c r="D111" s="1" t="s">
        <v>696</v>
      </c>
      <c r="E111" s="3" t="s">
        <v>18</v>
      </c>
      <c r="F111" s="32" t="s">
        <v>1419</v>
      </c>
      <c r="G111" s="1" t="s">
        <v>217</v>
      </c>
      <c r="H111" s="6">
        <f>COUNTIF(ValidTeams[],E111)</f>
        <v>1</v>
      </c>
    </row>
    <row r="112" spans="1:8" x14ac:dyDescent="0.25">
      <c r="A112" s="1">
        <v>7</v>
      </c>
      <c r="B112">
        <f t="shared" si="5"/>
        <v>14</v>
      </c>
      <c r="C112" s="1" t="s">
        <v>236</v>
      </c>
      <c r="D112" s="1" t="s">
        <v>237</v>
      </c>
      <c r="E112" s="3" t="s">
        <v>238</v>
      </c>
      <c r="F112" s="32" t="s">
        <v>1420</v>
      </c>
      <c r="G112" s="1" t="s">
        <v>217</v>
      </c>
      <c r="H112" s="6">
        <f>COUNTIF(ValidTeams[],E112)</f>
        <v>1</v>
      </c>
    </row>
    <row r="113" spans="1:8" x14ac:dyDescent="0.25">
      <c r="A113" s="1">
        <v>8</v>
      </c>
      <c r="B113">
        <f t="shared" si="5"/>
        <v>13</v>
      </c>
      <c r="C113" s="1" t="s">
        <v>243</v>
      </c>
      <c r="D113" s="1" t="s">
        <v>244</v>
      </c>
      <c r="E113" s="3" t="s">
        <v>12</v>
      </c>
      <c r="F113" s="32" t="s">
        <v>1421</v>
      </c>
      <c r="G113" s="1" t="s">
        <v>217</v>
      </c>
      <c r="H113" s="6">
        <f>COUNTIF(ValidTeams[],E113)</f>
        <v>1</v>
      </c>
    </row>
    <row r="114" spans="1:8" x14ac:dyDescent="0.25">
      <c r="A114" s="1">
        <v>9</v>
      </c>
      <c r="B114">
        <f t="shared" si="5"/>
        <v>0</v>
      </c>
      <c r="C114" s="1"/>
      <c r="D114" s="1"/>
      <c r="E114" s="3"/>
      <c r="F114" s="32"/>
      <c r="G114" s="1" t="s">
        <v>217</v>
      </c>
      <c r="H114" s="6">
        <f>COUNTIF(ValidTeams[],E114)</f>
        <v>0</v>
      </c>
    </row>
    <row r="115" spans="1:8" x14ac:dyDescent="0.25">
      <c r="A115" s="1">
        <v>10</v>
      </c>
      <c r="B115" s="24">
        <f>IF(H115=1,MAX(21-A115,0),0)</f>
        <v>0</v>
      </c>
      <c r="C115" s="1"/>
      <c r="D115" s="1"/>
      <c r="E115" s="3"/>
      <c r="F115" s="32"/>
      <c r="G115" s="1" t="s">
        <v>217</v>
      </c>
      <c r="H115" s="24">
        <f>COUNTIF(ValidTeams[],E115)</f>
        <v>0</v>
      </c>
    </row>
    <row r="116" spans="1:8" x14ac:dyDescent="0.25">
      <c r="A116" s="1">
        <v>11</v>
      </c>
      <c r="B116" s="24">
        <f>IF(H116=1,MAX(21-A116,0),0)</f>
        <v>0</v>
      </c>
      <c r="C116" s="1"/>
      <c r="D116" s="1"/>
      <c r="E116" s="3"/>
      <c r="F116" s="32"/>
      <c r="G116" s="1" t="s">
        <v>217</v>
      </c>
      <c r="H116" s="24">
        <f>COUNTIF(ValidTeams[],E116)</f>
        <v>0</v>
      </c>
    </row>
    <row r="117" spans="1:8" x14ac:dyDescent="0.25">
      <c r="A117" s="1">
        <v>12</v>
      </c>
      <c r="B117" s="24">
        <f>IF(H117=1,MAX(21-A117,0),0)</f>
        <v>0</v>
      </c>
      <c r="C117" s="1"/>
      <c r="D117" s="1"/>
      <c r="E117" s="3"/>
      <c r="F117" s="32"/>
      <c r="G117" s="1" t="s">
        <v>217</v>
      </c>
      <c r="H117" s="24">
        <f>COUNTIF(ValidTeams[],E117)</f>
        <v>0</v>
      </c>
    </row>
    <row r="118" spans="1:8" x14ac:dyDescent="0.25">
      <c r="A118" s="1">
        <v>13</v>
      </c>
      <c r="B118" s="24">
        <f>IF(H118=1,MAX(21-A118,0),0)</f>
        <v>0</v>
      </c>
      <c r="C118" s="1"/>
      <c r="D118" s="1"/>
      <c r="E118" s="3"/>
      <c r="F118" s="32"/>
      <c r="G118" s="1" t="s">
        <v>217</v>
      </c>
      <c r="H118" s="24">
        <f>COUNTIF(ValidTeams[],E118)</f>
        <v>0</v>
      </c>
    </row>
    <row r="119" spans="1:8" x14ac:dyDescent="0.25">
      <c r="A119" s="6"/>
      <c r="B119" s="34"/>
      <c r="C119" s="6"/>
      <c r="D119" s="6"/>
      <c r="E119" s="21"/>
      <c r="F119" s="33"/>
      <c r="G119" s="6"/>
      <c r="H119" s="34"/>
    </row>
    <row r="120" spans="1:8" x14ac:dyDescent="0.25">
      <c r="A120" s="4" t="s">
        <v>0</v>
      </c>
      <c r="B120" s="4" t="s">
        <v>73</v>
      </c>
      <c r="C120" s="4" t="s">
        <v>1</v>
      </c>
      <c r="D120" s="4" t="s">
        <v>2</v>
      </c>
      <c r="E120" s="5" t="s">
        <v>3</v>
      </c>
      <c r="F120" s="31" t="s">
        <v>4</v>
      </c>
      <c r="G120" s="4" t="s">
        <v>5</v>
      </c>
      <c r="H120" s="4" t="s">
        <v>72</v>
      </c>
    </row>
    <row r="121" spans="1:8" x14ac:dyDescent="0.25">
      <c r="A121" s="1">
        <v>1</v>
      </c>
      <c r="B121">
        <f t="shared" ref="B121:B126" si="6">IF(H121=1,MAX(21-A121,0),0)</f>
        <v>0</v>
      </c>
      <c r="C121" s="1" t="s">
        <v>850</v>
      </c>
      <c r="D121" s="1" t="s">
        <v>851</v>
      </c>
      <c r="E121" s="3" t="s">
        <v>852</v>
      </c>
      <c r="F121" s="32" t="s">
        <v>1422</v>
      </c>
      <c r="G121" s="1" t="s">
        <v>248</v>
      </c>
      <c r="H121" s="6">
        <f>COUNTIF(ValidTeams[],E121)</f>
        <v>0</v>
      </c>
    </row>
    <row r="122" spans="1:8" x14ac:dyDescent="0.25">
      <c r="A122" s="1">
        <v>2</v>
      </c>
      <c r="B122">
        <f t="shared" si="6"/>
        <v>19</v>
      </c>
      <c r="C122" s="1" t="s">
        <v>246</v>
      </c>
      <c r="D122" s="1" t="s">
        <v>20</v>
      </c>
      <c r="E122" s="3" t="s">
        <v>44</v>
      </c>
      <c r="F122" s="32" t="s">
        <v>788</v>
      </c>
      <c r="G122" s="1" t="s">
        <v>248</v>
      </c>
      <c r="H122" s="6">
        <f>COUNTIF(ValidTeams[],E122)</f>
        <v>1</v>
      </c>
    </row>
    <row r="123" spans="1:8" x14ac:dyDescent="0.25">
      <c r="A123" s="1">
        <v>3</v>
      </c>
      <c r="B123">
        <f t="shared" si="6"/>
        <v>18</v>
      </c>
      <c r="C123" s="1" t="s">
        <v>249</v>
      </c>
      <c r="D123" s="1" t="s">
        <v>250</v>
      </c>
      <c r="E123" s="3" t="s">
        <v>617</v>
      </c>
      <c r="F123" s="32" t="s">
        <v>1423</v>
      </c>
      <c r="G123" s="1" t="s">
        <v>248</v>
      </c>
      <c r="H123" s="6">
        <f>COUNTIF(ValidTeams[],E123)</f>
        <v>1</v>
      </c>
    </row>
    <row r="124" spans="1:8" x14ac:dyDescent="0.25">
      <c r="A124">
        <v>4</v>
      </c>
      <c r="B124">
        <f t="shared" si="6"/>
        <v>0</v>
      </c>
      <c r="C124" t="s">
        <v>1424</v>
      </c>
      <c r="D124" t="s">
        <v>194</v>
      </c>
      <c r="E124" t="s">
        <v>207</v>
      </c>
      <c r="F124" s="28">
        <v>1.5064814814814816E-2</v>
      </c>
      <c r="G124" t="s">
        <v>248</v>
      </c>
      <c r="H124">
        <f>COUNTIF(ValidTeams[],E124)</f>
        <v>0</v>
      </c>
    </row>
    <row r="125" spans="1:8" x14ac:dyDescent="0.25">
      <c r="A125">
        <v>5</v>
      </c>
      <c r="B125">
        <f t="shared" si="6"/>
        <v>16</v>
      </c>
      <c r="C125" t="s">
        <v>113</v>
      </c>
      <c r="D125" t="s">
        <v>253</v>
      </c>
      <c r="E125" t="s">
        <v>254</v>
      </c>
      <c r="F125" s="28">
        <v>1.5525462962962963E-2</v>
      </c>
      <c r="G125" t="s">
        <v>248</v>
      </c>
      <c r="H125">
        <f>COUNTIF(ValidTeams[],E125)</f>
        <v>1</v>
      </c>
    </row>
    <row r="126" spans="1:8" x14ac:dyDescent="0.25">
      <c r="A126">
        <v>6</v>
      </c>
      <c r="B126">
        <f t="shared" si="6"/>
        <v>15</v>
      </c>
      <c r="C126" t="s">
        <v>1425</v>
      </c>
      <c r="D126" t="s">
        <v>278</v>
      </c>
      <c r="E126" t="s">
        <v>100</v>
      </c>
      <c r="F126" s="28">
        <v>1.6480324074074074E-2</v>
      </c>
      <c r="G126" t="s">
        <v>248</v>
      </c>
      <c r="H126">
        <f>COUNTIF(ValidTeams[],E126)</f>
        <v>1</v>
      </c>
    </row>
    <row r="127" spans="1:8" x14ac:dyDescent="0.25">
      <c r="A127" s="1">
        <v>7</v>
      </c>
      <c r="B127" s="24">
        <f>IF(H127=1,MAX(21-A127,0),0)</f>
        <v>14</v>
      </c>
      <c r="C127" s="1" t="s">
        <v>256</v>
      </c>
      <c r="D127" s="1" t="s">
        <v>257</v>
      </c>
      <c r="E127" s="3" t="s">
        <v>238</v>
      </c>
      <c r="F127" s="32" t="s">
        <v>1426</v>
      </c>
      <c r="G127" s="1" t="s">
        <v>248</v>
      </c>
      <c r="H127" s="24">
        <f>COUNTIF(ValidTeams[],E127)</f>
        <v>1</v>
      </c>
    </row>
    <row r="128" spans="1:8" x14ac:dyDescent="0.25">
      <c r="A128" s="1">
        <v>8</v>
      </c>
      <c r="B128" s="24">
        <f>IF(H128=1,MAX(21-A128,0),0)</f>
        <v>0</v>
      </c>
      <c r="C128" s="1"/>
      <c r="D128" s="1"/>
      <c r="E128" s="3"/>
      <c r="F128" s="32"/>
      <c r="G128" s="1"/>
      <c r="H128" s="24">
        <f>COUNTIF(ValidTeams[],E128)</f>
        <v>0</v>
      </c>
    </row>
    <row r="129" spans="1:8" x14ac:dyDescent="0.25">
      <c r="A129" s="1">
        <v>9</v>
      </c>
      <c r="B129" s="24">
        <f>IF(H129=1,MAX(21-A129,0),0)</f>
        <v>0</v>
      </c>
      <c r="C129" s="1"/>
      <c r="D129" s="1"/>
      <c r="E129" s="3"/>
      <c r="F129" s="32"/>
      <c r="G129" s="1"/>
      <c r="H129" s="24">
        <f>COUNTIF(ValidTeams[],E129)</f>
        <v>0</v>
      </c>
    </row>
    <row r="130" spans="1:8" x14ac:dyDescent="0.25">
      <c r="A130" s="6"/>
      <c r="B130" s="34"/>
      <c r="C130" s="6"/>
      <c r="D130" s="6"/>
      <c r="E130" s="21"/>
      <c r="F130" s="33"/>
      <c r="G130" s="6"/>
      <c r="H130" s="34"/>
    </row>
    <row r="131" spans="1:8" x14ac:dyDescent="0.25">
      <c r="A131" s="4" t="s">
        <v>0</v>
      </c>
      <c r="B131" s="4" t="s">
        <v>73</v>
      </c>
      <c r="C131" s="4" t="s">
        <v>1</v>
      </c>
      <c r="D131" s="4" t="s">
        <v>2</v>
      </c>
      <c r="E131" s="5" t="s">
        <v>3</v>
      </c>
      <c r="F131" s="31" t="s">
        <v>4</v>
      </c>
      <c r="G131" s="4" t="s">
        <v>5</v>
      </c>
      <c r="H131" s="4" t="s">
        <v>72</v>
      </c>
    </row>
    <row r="132" spans="1:8" x14ac:dyDescent="0.25">
      <c r="A132" s="1">
        <v>1</v>
      </c>
      <c r="B132">
        <f t="shared" ref="B132:B153" si="7">IF(H132=1,MAX(21-A132,0),0)</f>
        <v>20</v>
      </c>
      <c r="C132" s="1" t="s">
        <v>273</v>
      </c>
      <c r="D132" s="1" t="s">
        <v>274</v>
      </c>
      <c r="E132" s="3" t="s">
        <v>275</v>
      </c>
      <c r="F132" s="32" t="s">
        <v>1450</v>
      </c>
      <c r="G132" s="1" t="s">
        <v>269</v>
      </c>
      <c r="H132" s="6">
        <f>COUNTIF(ValidTeams[],E132)</f>
        <v>1</v>
      </c>
    </row>
    <row r="133" spans="1:8" x14ac:dyDescent="0.25">
      <c r="A133" s="1">
        <v>2</v>
      </c>
      <c r="B133">
        <f t="shared" si="7"/>
        <v>19</v>
      </c>
      <c r="C133" s="1" t="s">
        <v>265</v>
      </c>
      <c r="D133" s="1" t="s">
        <v>266</v>
      </c>
      <c r="E133" s="3" t="s">
        <v>267</v>
      </c>
      <c r="F133" s="32" t="s">
        <v>976</v>
      </c>
      <c r="G133" s="1" t="s">
        <v>269</v>
      </c>
      <c r="H133" s="6">
        <f>COUNTIF(ValidTeams[],E133)</f>
        <v>1</v>
      </c>
    </row>
    <row r="134" spans="1:8" x14ac:dyDescent="0.25">
      <c r="A134" s="1">
        <v>3</v>
      </c>
      <c r="B134">
        <f t="shared" si="7"/>
        <v>18</v>
      </c>
      <c r="C134" s="1" t="s">
        <v>283</v>
      </c>
      <c r="D134" s="1" t="s">
        <v>284</v>
      </c>
      <c r="E134" s="3" t="s">
        <v>18</v>
      </c>
      <c r="F134" s="32" t="s">
        <v>1451</v>
      </c>
      <c r="G134" s="1" t="s">
        <v>269</v>
      </c>
      <c r="H134" s="6">
        <f>COUNTIF(ValidTeams[],E134)</f>
        <v>1</v>
      </c>
    </row>
    <row r="135" spans="1:8" x14ac:dyDescent="0.25">
      <c r="A135" s="1">
        <v>4</v>
      </c>
      <c r="B135">
        <f t="shared" si="7"/>
        <v>0</v>
      </c>
      <c r="C135" s="1" t="s">
        <v>1452</v>
      </c>
      <c r="D135" s="1" t="s">
        <v>646</v>
      </c>
      <c r="E135" s="3"/>
      <c r="F135" s="32" t="s">
        <v>1453</v>
      </c>
      <c r="G135" s="1" t="s">
        <v>269</v>
      </c>
      <c r="H135" s="6">
        <f>COUNTIF(ValidTeams[],E135)</f>
        <v>0</v>
      </c>
    </row>
    <row r="136" spans="1:8" x14ac:dyDescent="0.25">
      <c r="A136" s="1">
        <v>5</v>
      </c>
      <c r="B136">
        <f t="shared" si="7"/>
        <v>0</v>
      </c>
      <c r="C136" s="1" t="s">
        <v>1454</v>
      </c>
      <c r="D136" s="1" t="s">
        <v>14</v>
      </c>
      <c r="E136" s="3" t="s">
        <v>1455</v>
      </c>
      <c r="F136" s="32" t="s">
        <v>1456</v>
      </c>
      <c r="G136" s="1" t="s">
        <v>269</v>
      </c>
      <c r="H136" s="6">
        <f>COUNTIF(ValidTeams[],E136)</f>
        <v>0</v>
      </c>
    </row>
    <row r="137" spans="1:8" x14ac:dyDescent="0.25">
      <c r="A137" s="1">
        <v>6</v>
      </c>
      <c r="B137">
        <f t="shared" si="7"/>
        <v>15</v>
      </c>
      <c r="C137" s="1" t="s">
        <v>625</v>
      </c>
      <c r="D137" s="1" t="s">
        <v>174</v>
      </c>
      <c r="E137" s="3" t="s">
        <v>290</v>
      </c>
      <c r="F137" s="32" t="s">
        <v>1457</v>
      </c>
      <c r="G137" s="1" t="s">
        <v>269</v>
      </c>
      <c r="H137" s="6">
        <f>COUNTIF(ValidTeams[],E137)</f>
        <v>1</v>
      </c>
    </row>
    <row r="138" spans="1:8" x14ac:dyDescent="0.25">
      <c r="A138" s="1">
        <v>7</v>
      </c>
      <c r="B138">
        <f t="shared" si="7"/>
        <v>0</v>
      </c>
      <c r="C138" s="1" t="s">
        <v>1458</v>
      </c>
      <c r="D138" s="1" t="s">
        <v>85</v>
      </c>
      <c r="E138" s="3" t="s">
        <v>1459</v>
      </c>
      <c r="F138" s="32" t="s">
        <v>1460</v>
      </c>
      <c r="G138" s="1" t="s">
        <v>269</v>
      </c>
      <c r="H138" s="6">
        <f>COUNTIF(ValidTeams[],E138)</f>
        <v>0</v>
      </c>
    </row>
    <row r="139" spans="1:8" x14ac:dyDescent="0.25">
      <c r="A139" s="1">
        <v>8</v>
      </c>
      <c r="B139">
        <f t="shared" si="7"/>
        <v>0</v>
      </c>
      <c r="C139" s="1" t="s">
        <v>541</v>
      </c>
      <c r="D139" s="1" t="s">
        <v>20</v>
      </c>
      <c r="E139" s="3" t="s">
        <v>1461</v>
      </c>
      <c r="F139" s="32" t="s">
        <v>1462</v>
      </c>
      <c r="G139" s="1" t="s">
        <v>269</v>
      </c>
      <c r="H139" s="6">
        <f>COUNTIF(ValidTeams[],E139)</f>
        <v>0</v>
      </c>
    </row>
    <row r="140" spans="1:8" x14ac:dyDescent="0.25">
      <c r="A140" s="1">
        <v>9</v>
      </c>
      <c r="B140">
        <f t="shared" si="7"/>
        <v>0</v>
      </c>
      <c r="C140" s="1"/>
      <c r="D140" s="1"/>
      <c r="E140" s="3"/>
      <c r="F140" s="32"/>
      <c r="G140" s="1" t="s">
        <v>269</v>
      </c>
      <c r="H140" s="6">
        <f>COUNTIF(ValidTeams[],E140)</f>
        <v>0</v>
      </c>
    </row>
    <row r="141" spans="1:8" x14ac:dyDescent="0.25">
      <c r="A141" s="1">
        <v>10</v>
      </c>
      <c r="B141">
        <f t="shared" si="7"/>
        <v>0</v>
      </c>
      <c r="C141" s="1"/>
      <c r="D141" s="1"/>
      <c r="E141" s="3"/>
      <c r="F141" s="32"/>
      <c r="G141" s="1" t="s">
        <v>269</v>
      </c>
      <c r="H141" s="6">
        <f>COUNTIF(ValidTeams[],E141)</f>
        <v>0</v>
      </c>
    </row>
    <row r="142" spans="1:8" x14ac:dyDescent="0.25">
      <c r="A142" s="1">
        <v>11</v>
      </c>
      <c r="B142">
        <f t="shared" si="7"/>
        <v>0</v>
      </c>
      <c r="C142" s="1"/>
      <c r="D142" s="1"/>
      <c r="E142" s="3"/>
      <c r="F142" s="32"/>
      <c r="G142" s="1" t="s">
        <v>269</v>
      </c>
      <c r="H142" s="6">
        <f>COUNTIF(ValidTeams[],E142)</f>
        <v>0</v>
      </c>
    </row>
    <row r="143" spans="1:8" x14ac:dyDescent="0.25">
      <c r="A143" s="1">
        <v>12</v>
      </c>
      <c r="B143">
        <f t="shared" si="7"/>
        <v>0</v>
      </c>
      <c r="C143" s="1"/>
      <c r="D143" s="1"/>
      <c r="E143" s="3"/>
      <c r="F143" s="32"/>
      <c r="G143" s="1" t="s">
        <v>269</v>
      </c>
      <c r="H143" s="6">
        <f>COUNTIF(ValidTeams[],E143)</f>
        <v>0</v>
      </c>
    </row>
    <row r="144" spans="1:8" x14ac:dyDescent="0.25">
      <c r="A144" s="1">
        <v>13</v>
      </c>
      <c r="B144">
        <f t="shared" si="7"/>
        <v>0</v>
      </c>
      <c r="C144" s="1"/>
      <c r="D144" s="1"/>
      <c r="E144" s="3"/>
      <c r="F144" s="32"/>
      <c r="G144" s="1" t="s">
        <v>269</v>
      </c>
      <c r="H144" s="6">
        <f>COUNTIF(ValidTeams[],E144)</f>
        <v>0</v>
      </c>
    </row>
    <row r="145" spans="1:8" x14ac:dyDescent="0.25">
      <c r="A145" s="1">
        <v>14</v>
      </c>
      <c r="B145">
        <f t="shared" si="7"/>
        <v>0</v>
      </c>
      <c r="C145" s="1"/>
      <c r="D145" s="1"/>
      <c r="E145" s="3"/>
      <c r="F145" s="32"/>
      <c r="G145" s="1" t="s">
        <v>269</v>
      </c>
      <c r="H145" s="6">
        <f>COUNTIF(ValidTeams[],E145)</f>
        <v>0</v>
      </c>
    </row>
    <row r="146" spans="1:8" x14ac:dyDescent="0.25">
      <c r="A146">
        <v>15</v>
      </c>
      <c r="B146">
        <f t="shared" si="7"/>
        <v>0</v>
      </c>
      <c r="E146"/>
      <c r="F146" s="28"/>
      <c r="G146" t="s">
        <v>269</v>
      </c>
      <c r="H146">
        <f>COUNTIF(ValidTeams[],E146)</f>
        <v>0</v>
      </c>
    </row>
    <row r="147" spans="1:8" x14ac:dyDescent="0.25">
      <c r="A147" s="1">
        <v>16</v>
      </c>
      <c r="B147">
        <f t="shared" si="7"/>
        <v>0</v>
      </c>
      <c r="C147" s="1"/>
      <c r="D147" s="1"/>
      <c r="E147" s="3"/>
      <c r="F147" s="32"/>
      <c r="G147" s="1" t="s">
        <v>269</v>
      </c>
      <c r="H147" s="6">
        <f>COUNTIF(ValidTeams[],E147)</f>
        <v>0</v>
      </c>
    </row>
    <row r="148" spans="1:8" x14ac:dyDescent="0.25">
      <c r="A148" s="1">
        <v>17</v>
      </c>
      <c r="B148">
        <f t="shared" si="7"/>
        <v>0</v>
      </c>
      <c r="C148" s="1"/>
      <c r="D148" s="1"/>
      <c r="E148" s="3"/>
      <c r="F148" s="32"/>
      <c r="G148" s="1" t="s">
        <v>269</v>
      </c>
      <c r="H148" s="6">
        <f>COUNTIF(ValidTeams[],E148)</f>
        <v>0</v>
      </c>
    </row>
    <row r="149" spans="1:8" x14ac:dyDescent="0.25">
      <c r="A149" s="1">
        <v>18</v>
      </c>
      <c r="B149">
        <f t="shared" si="7"/>
        <v>0</v>
      </c>
      <c r="C149" s="1"/>
      <c r="D149" s="1"/>
      <c r="E149" s="3"/>
      <c r="F149" s="32"/>
      <c r="G149" s="1" t="s">
        <v>269</v>
      </c>
      <c r="H149" s="6">
        <f>COUNTIF(ValidTeams[],E149)</f>
        <v>0</v>
      </c>
    </row>
    <row r="150" spans="1:8" x14ac:dyDescent="0.25">
      <c r="A150">
        <v>19</v>
      </c>
      <c r="B150">
        <f t="shared" si="7"/>
        <v>0</v>
      </c>
      <c r="E150"/>
      <c r="F150" s="28"/>
      <c r="G150" t="s">
        <v>269</v>
      </c>
      <c r="H150">
        <f>COUNTIF(ValidTeams[],E150)</f>
        <v>0</v>
      </c>
    </row>
    <row r="151" spans="1:8" x14ac:dyDescent="0.25">
      <c r="A151">
        <v>20</v>
      </c>
      <c r="B151">
        <f t="shared" si="7"/>
        <v>0</v>
      </c>
      <c r="E151"/>
      <c r="F151" s="28"/>
      <c r="G151" t="s">
        <v>269</v>
      </c>
      <c r="H151">
        <f>COUNTIF(ValidTeams[],E151)</f>
        <v>0</v>
      </c>
    </row>
    <row r="152" spans="1:8" x14ac:dyDescent="0.25">
      <c r="A152">
        <v>21</v>
      </c>
      <c r="B152">
        <f t="shared" si="7"/>
        <v>0</v>
      </c>
      <c r="E152"/>
      <c r="F152" s="28"/>
      <c r="G152" t="s">
        <v>269</v>
      </c>
      <c r="H152">
        <f>COUNTIF(ValidTeams[],E152)</f>
        <v>0</v>
      </c>
    </row>
    <row r="153" spans="1:8" x14ac:dyDescent="0.25">
      <c r="A153">
        <v>22</v>
      </c>
      <c r="B153">
        <f t="shared" si="7"/>
        <v>0</v>
      </c>
      <c r="E153"/>
      <c r="G153" t="s">
        <v>269</v>
      </c>
      <c r="H153">
        <f>COUNTIF(ValidTeams[],E153)</f>
        <v>0</v>
      </c>
    </row>
    <row r="154" spans="1:8" x14ac:dyDescent="0.25">
      <c r="F154" s="29"/>
    </row>
    <row r="155" spans="1:8" x14ac:dyDescent="0.25">
      <c r="A155" s="4" t="s">
        <v>0</v>
      </c>
      <c r="B155" s="4" t="s">
        <v>73</v>
      </c>
      <c r="C155" s="4" t="s">
        <v>1</v>
      </c>
      <c r="D155" s="4" t="s">
        <v>2</v>
      </c>
      <c r="E155" s="5" t="s">
        <v>3</v>
      </c>
      <c r="F155" s="31" t="s">
        <v>4</v>
      </c>
      <c r="G155" s="4" t="s">
        <v>5</v>
      </c>
      <c r="H155" s="4" t="s">
        <v>72</v>
      </c>
    </row>
    <row r="156" spans="1:8" x14ac:dyDescent="0.25">
      <c r="A156" s="1">
        <v>1</v>
      </c>
      <c r="B156">
        <f t="shared" ref="B156:B165" si="8">IF(H156=1,MAX(21-A156,0),0)</f>
        <v>20</v>
      </c>
      <c r="C156" s="1" t="s">
        <v>329</v>
      </c>
      <c r="D156" s="1" t="s">
        <v>330</v>
      </c>
      <c r="E156" s="3" t="s">
        <v>441</v>
      </c>
      <c r="F156" s="32" t="s">
        <v>1427</v>
      </c>
      <c r="G156" s="1" t="s">
        <v>331</v>
      </c>
      <c r="H156" s="6">
        <f>COUNTIF(ValidTeams[],E156)</f>
        <v>1</v>
      </c>
    </row>
    <row r="157" spans="1:8" x14ac:dyDescent="0.25">
      <c r="A157" s="1">
        <v>2</v>
      </c>
      <c r="B157">
        <f t="shared" si="8"/>
        <v>19</v>
      </c>
      <c r="C157" s="1" t="s">
        <v>332</v>
      </c>
      <c r="D157" s="1" t="s">
        <v>333</v>
      </c>
      <c r="E157" s="3" t="s">
        <v>38</v>
      </c>
      <c r="F157" s="32" t="s">
        <v>1428</v>
      </c>
      <c r="G157" s="1" t="s">
        <v>331</v>
      </c>
      <c r="H157" s="6">
        <f>COUNTIF(ValidTeams[],E157)</f>
        <v>1</v>
      </c>
    </row>
    <row r="158" spans="1:8" x14ac:dyDescent="0.25">
      <c r="A158" s="1">
        <v>3</v>
      </c>
      <c r="B158">
        <f t="shared" si="8"/>
        <v>18</v>
      </c>
      <c r="C158" s="1" t="s">
        <v>6</v>
      </c>
      <c r="D158" s="1" t="s">
        <v>341</v>
      </c>
      <c r="E158" s="3" t="s">
        <v>8</v>
      </c>
      <c r="F158" s="32" t="s">
        <v>1429</v>
      </c>
      <c r="G158" s="1" t="s">
        <v>331</v>
      </c>
      <c r="H158" s="6">
        <f>COUNTIF(ValidTeams[],E158)</f>
        <v>1</v>
      </c>
    </row>
    <row r="159" spans="1:8" x14ac:dyDescent="0.25">
      <c r="A159" s="1">
        <v>4</v>
      </c>
      <c r="B159">
        <f t="shared" si="8"/>
        <v>0</v>
      </c>
      <c r="C159" s="1" t="s">
        <v>1430</v>
      </c>
      <c r="D159" s="1" t="s">
        <v>1431</v>
      </c>
      <c r="E159" s="3" t="s">
        <v>1432</v>
      </c>
      <c r="F159" s="32" t="s">
        <v>1433</v>
      </c>
      <c r="G159" s="1" t="s">
        <v>331</v>
      </c>
      <c r="H159" s="6">
        <f>COUNTIF(ValidTeams[],E159)</f>
        <v>0</v>
      </c>
    </row>
    <row r="160" spans="1:8" x14ac:dyDescent="0.25">
      <c r="A160" s="1">
        <v>5</v>
      </c>
      <c r="B160">
        <f t="shared" si="8"/>
        <v>16</v>
      </c>
      <c r="C160" s="1" t="s">
        <v>351</v>
      </c>
      <c r="D160" s="1" t="s">
        <v>352</v>
      </c>
      <c r="E160" s="3" t="s">
        <v>38</v>
      </c>
      <c r="F160" s="32" t="s">
        <v>1434</v>
      </c>
      <c r="G160" s="1" t="s">
        <v>331</v>
      </c>
      <c r="H160" s="6">
        <f>COUNTIF(ValidTeams[],E160)</f>
        <v>1</v>
      </c>
    </row>
    <row r="161" spans="1:8" x14ac:dyDescent="0.25">
      <c r="A161" s="1">
        <v>6</v>
      </c>
      <c r="B161">
        <f t="shared" si="8"/>
        <v>0</v>
      </c>
      <c r="C161" s="1"/>
      <c r="D161" s="1"/>
      <c r="E161" s="3"/>
      <c r="F161" s="32"/>
      <c r="G161" s="1" t="s">
        <v>331</v>
      </c>
      <c r="H161" s="6">
        <f>COUNTIF(ValidTeams[],E161)</f>
        <v>0</v>
      </c>
    </row>
    <row r="162" spans="1:8" x14ac:dyDescent="0.25">
      <c r="A162" s="1">
        <v>7</v>
      </c>
      <c r="B162">
        <f t="shared" si="8"/>
        <v>0</v>
      </c>
      <c r="C162" s="1"/>
      <c r="D162" s="1"/>
      <c r="E162" s="3"/>
      <c r="F162" s="32"/>
      <c r="G162" s="1" t="s">
        <v>331</v>
      </c>
      <c r="H162" s="6">
        <f>COUNTIF(ValidTeams[],E162)</f>
        <v>0</v>
      </c>
    </row>
    <row r="163" spans="1:8" x14ac:dyDescent="0.25">
      <c r="A163" s="1">
        <v>8</v>
      </c>
      <c r="B163">
        <f t="shared" si="8"/>
        <v>0</v>
      </c>
      <c r="C163" s="1"/>
      <c r="D163" s="1"/>
      <c r="E163" s="3"/>
      <c r="F163" s="32"/>
      <c r="G163" s="1" t="s">
        <v>331</v>
      </c>
      <c r="H163" s="6">
        <f>COUNTIF(ValidTeams[],E163)</f>
        <v>0</v>
      </c>
    </row>
    <row r="164" spans="1:8" x14ac:dyDescent="0.25">
      <c r="A164" s="1">
        <v>9</v>
      </c>
      <c r="B164">
        <f t="shared" si="8"/>
        <v>0</v>
      </c>
      <c r="E164"/>
      <c r="F164" s="28"/>
      <c r="G164" s="1" t="s">
        <v>331</v>
      </c>
      <c r="H164" s="6">
        <f>COUNTIF(ValidTeams[],E164)</f>
        <v>0</v>
      </c>
    </row>
    <row r="165" spans="1:8" x14ac:dyDescent="0.25">
      <c r="A165" s="1">
        <v>10</v>
      </c>
      <c r="B165">
        <f t="shared" si="8"/>
        <v>0</v>
      </c>
      <c r="E165"/>
      <c r="F165" s="28"/>
      <c r="G165" s="1" t="s">
        <v>331</v>
      </c>
      <c r="H165" s="6">
        <f>COUNTIF(ValidTeams[],E165)</f>
        <v>0</v>
      </c>
    </row>
    <row r="166" spans="1:8" x14ac:dyDescent="0.25">
      <c r="A166" s="1">
        <v>11</v>
      </c>
      <c r="B166" s="1">
        <f>IF(H166=1,MAX(21-A166,0),0)</f>
        <v>0</v>
      </c>
      <c r="E166"/>
      <c r="F166" s="28"/>
      <c r="G166" s="1" t="s">
        <v>331</v>
      </c>
      <c r="H166" s="6">
        <f>COUNTIF(ValidTeams[],E166)</f>
        <v>0</v>
      </c>
    </row>
    <row r="167" spans="1:8" x14ac:dyDescent="0.25">
      <c r="A167" s="6"/>
      <c r="B167" s="6"/>
      <c r="C167" s="6"/>
      <c r="D167" s="6"/>
      <c r="E167" s="21"/>
      <c r="F167" s="33"/>
      <c r="G167" s="6"/>
      <c r="H167" s="34"/>
    </row>
    <row r="168" spans="1:8" x14ac:dyDescent="0.25">
      <c r="A168" s="4" t="s">
        <v>0</v>
      </c>
      <c r="B168" s="4" t="s">
        <v>73</v>
      </c>
      <c r="C168" s="4" t="s">
        <v>1</v>
      </c>
      <c r="D168" s="4" t="s">
        <v>2</v>
      </c>
      <c r="E168" s="5" t="s">
        <v>3</v>
      </c>
      <c r="F168" s="31" t="s">
        <v>4</v>
      </c>
      <c r="G168" s="4" t="s">
        <v>5</v>
      </c>
      <c r="H168" s="4" t="s">
        <v>72</v>
      </c>
    </row>
    <row r="169" spans="1:8" x14ac:dyDescent="0.25">
      <c r="A169" s="1">
        <v>1</v>
      </c>
      <c r="B169">
        <f t="shared" ref="B169:B190" si="9">IF(H169=1,MAX(21-A169,0),0)</f>
        <v>20</v>
      </c>
      <c r="C169" s="6" t="s">
        <v>613</v>
      </c>
      <c r="D169" s="6" t="s">
        <v>281</v>
      </c>
      <c r="E169" s="21" t="s">
        <v>452</v>
      </c>
      <c r="F169" s="33" t="s">
        <v>1435</v>
      </c>
      <c r="G169" s="1" t="s">
        <v>363</v>
      </c>
      <c r="H169" s="6">
        <f>COUNTIF(ValidTeams[],E169)</f>
        <v>1</v>
      </c>
    </row>
    <row r="170" spans="1:8" x14ac:dyDescent="0.25">
      <c r="A170" s="1">
        <v>2</v>
      </c>
      <c r="B170">
        <f t="shared" si="9"/>
        <v>19</v>
      </c>
      <c r="C170" s="6" t="s">
        <v>645</v>
      </c>
      <c r="D170" s="6" t="s">
        <v>646</v>
      </c>
      <c r="E170" s="3" t="s">
        <v>345</v>
      </c>
      <c r="F170" s="32" t="s">
        <v>1436</v>
      </c>
      <c r="G170" s="1" t="s">
        <v>363</v>
      </c>
      <c r="H170" s="6">
        <f>COUNTIF(ValidTeams[],E170)</f>
        <v>1</v>
      </c>
    </row>
    <row r="171" spans="1:8" x14ac:dyDescent="0.25">
      <c r="A171" s="1">
        <v>3</v>
      </c>
      <c r="B171">
        <f t="shared" si="9"/>
        <v>18</v>
      </c>
      <c r="C171" s="6" t="s">
        <v>66</v>
      </c>
      <c r="D171" s="6" t="s">
        <v>176</v>
      </c>
      <c r="E171" s="3" t="s">
        <v>442</v>
      </c>
      <c r="F171" s="32" t="s">
        <v>1437</v>
      </c>
      <c r="G171" s="1" t="s">
        <v>363</v>
      </c>
      <c r="H171" s="6">
        <f>COUNTIF(ValidTeams[],E171)</f>
        <v>1</v>
      </c>
    </row>
    <row r="172" spans="1:8" x14ac:dyDescent="0.25">
      <c r="A172" s="1">
        <v>4</v>
      </c>
      <c r="B172">
        <f t="shared" si="9"/>
        <v>0</v>
      </c>
      <c r="C172" s="6" t="s">
        <v>1115</v>
      </c>
      <c r="D172" s="6" t="s">
        <v>174</v>
      </c>
      <c r="E172" s="3" t="s">
        <v>1116</v>
      </c>
      <c r="F172" s="32" t="s">
        <v>734</v>
      </c>
      <c r="G172" s="1" t="s">
        <v>363</v>
      </c>
      <c r="H172" s="6">
        <f>COUNTIF(ValidTeams[],E172)</f>
        <v>0</v>
      </c>
    </row>
    <row r="173" spans="1:8" x14ac:dyDescent="0.25">
      <c r="A173" s="1">
        <v>5</v>
      </c>
      <c r="B173">
        <f t="shared" si="9"/>
        <v>16</v>
      </c>
      <c r="C173" s="6" t="s">
        <v>649</v>
      </c>
      <c r="D173" s="6" t="s">
        <v>281</v>
      </c>
      <c r="E173" s="3" t="s">
        <v>8</v>
      </c>
      <c r="F173" s="32" t="s">
        <v>1438</v>
      </c>
      <c r="G173" s="1" t="s">
        <v>363</v>
      </c>
      <c r="H173" s="6">
        <f>COUNTIF(ValidTeams[],E173)</f>
        <v>1</v>
      </c>
    </row>
    <row r="174" spans="1:8" x14ac:dyDescent="0.25">
      <c r="A174" s="1">
        <v>6</v>
      </c>
      <c r="B174">
        <f t="shared" si="9"/>
        <v>15</v>
      </c>
      <c r="C174" s="6" t="s">
        <v>370</v>
      </c>
      <c r="D174" s="6" t="s">
        <v>281</v>
      </c>
      <c r="E174" s="3" t="s">
        <v>267</v>
      </c>
      <c r="F174" s="32" t="s">
        <v>1439</v>
      </c>
      <c r="G174" s="1" t="s">
        <v>363</v>
      </c>
      <c r="H174" s="6">
        <f>COUNTIF(ValidTeams[],E174)</f>
        <v>1</v>
      </c>
    </row>
    <row r="175" spans="1:8" x14ac:dyDescent="0.25">
      <c r="A175" s="1">
        <v>7</v>
      </c>
      <c r="B175">
        <f t="shared" si="9"/>
        <v>14</v>
      </c>
      <c r="C175" s="6" t="s">
        <v>372</v>
      </c>
      <c r="D175" s="6" t="s">
        <v>278</v>
      </c>
      <c r="E175" s="3" t="s">
        <v>267</v>
      </c>
      <c r="F175" s="32" t="s">
        <v>1440</v>
      </c>
      <c r="G175" s="1" t="s">
        <v>363</v>
      </c>
      <c r="H175" s="6">
        <f>COUNTIF(ValidTeams[],E175)</f>
        <v>1</v>
      </c>
    </row>
    <row r="176" spans="1:8" x14ac:dyDescent="0.25">
      <c r="A176" s="1">
        <v>8</v>
      </c>
      <c r="B176">
        <f t="shared" si="9"/>
        <v>0</v>
      </c>
      <c r="C176" s="6" t="s">
        <v>1441</v>
      </c>
      <c r="D176" s="6" t="s">
        <v>1442</v>
      </c>
      <c r="E176" s="3" t="s">
        <v>1443</v>
      </c>
      <c r="F176" s="32" t="s">
        <v>1444</v>
      </c>
      <c r="G176" s="1" t="s">
        <v>363</v>
      </c>
      <c r="H176" s="6">
        <f>COUNTIF(ValidTeams[],E176)</f>
        <v>0</v>
      </c>
    </row>
    <row r="177" spans="1:8" x14ac:dyDescent="0.25">
      <c r="A177">
        <v>9</v>
      </c>
      <c r="B177">
        <f t="shared" si="9"/>
        <v>0</v>
      </c>
      <c r="C177" s="6" t="s">
        <v>1445</v>
      </c>
      <c r="D177" s="6" t="s">
        <v>194</v>
      </c>
      <c r="E177" s="3" t="s">
        <v>1446</v>
      </c>
      <c r="F177" s="32" t="s">
        <v>1447</v>
      </c>
      <c r="G177" t="s">
        <v>363</v>
      </c>
      <c r="H177" s="6">
        <f>COUNTIF(ValidTeams[],E177)</f>
        <v>0</v>
      </c>
    </row>
    <row r="178" spans="1:8" x14ac:dyDescent="0.25">
      <c r="A178">
        <v>10</v>
      </c>
      <c r="B178">
        <f t="shared" si="9"/>
        <v>0</v>
      </c>
      <c r="C178" s="6"/>
      <c r="D178" s="6"/>
      <c r="E178" s="3"/>
      <c r="F178" s="32"/>
      <c r="G178" t="s">
        <v>363</v>
      </c>
      <c r="H178" s="6">
        <f>COUNTIF(ValidTeams[],E178)</f>
        <v>0</v>
      </c>
    </row>
    <row r="179" spans="1:8" x14ac:dyDescent="0.25">
      <c r="A179">
        <v>11</v>
      </c>
      <c r="B179">
        <f t="shared" si="9"/>
        <v>0</v>
      </c>
      <c r="C179" s="6"/>
      <c r="D179" s="6"/>
      <c r="E179" s="3"/>
      <c r="F179" s="32"/>
      <c r="G179" t="s">
        <v>363</v>
      </c>
      <c r="H179" s="6">
        <f>COUNTIF(ValidTeams[],E179)</f>
        <v>0</v>
      </c>
    </row>
    <row r="180" spans="1:8" x14ac:dyDescent="0.25">
      <c r="A180">
        <v>12</v>
      </c>
      <c r="B180">
        <f t="shared" si="9"/>
        <v>0</v>
      </c>
      <c r="E180" s="27"/>
      <c r="F180" s="28"/>
      <c r="G180" t="s">
        <v>363</v>
      </c>
      <c r="H180" s="6">
        <f>COUNTIF(ValidTeams[],E180)</f>
        <v>0</v>
      </c>
    </row>
    <row r="181" spans="1:8" x14ac:dyDescent="0.25">
      <c r="A181">
        <v>13</v>
      </c>
      <c r="B181">
        <f t="shared" si="9"/>
        <v>0</v>
      </c>
      <c r="E181"/>
      <c r="F181" s="28"/>
      <c r="G181" t="s">
        <v>363</v>
      </c>
      <c r="H181" s="6">
        <f>COUNTIF(ValidTeams[],E181)</f>
        <v>0</v>
      </c>
    </row>
    <row r="182" spans="1:8" x14ac:dyDescent="0.25">
      <c r="A182">
        <v>14</v>
      </c>
      <c r="B182">
        <f t="shared" si="9"/>
        <v>0</v>
      </c>
      <c r="E182"/>
      <c r="F182" s="28"/>
      <c r="G182" t="s">
        <v>363</v>
      </c>
      <c r="H182" s="6">
        <f>COUNTIF(ValidTeams[],E182)</f>
        <v>0</v>
      </c>
    </row>
    <row r="183" spans="1:8" x14ac:dyDescent="0.25">
      <c r="A183" s="1">
        <v>15</v>
      </c>
      <c r="B183" s="1">
        <f t="shared" si="9"/>
        <v>0</v>
      </c>
      <c r="C183" s="1"/>
      <c r="D183" s="1"/>
      <c r="E183" s="3"/>
      <c r="F183" s="32"/>
      <c r="G183" s="1" t="s">
        <v>363</v>
      </c>
      <c r="H183" s="24">
        <f>COUNTIF(ValidTeams[],E183)</f>
        <v>0</v>
      </c>
    </row>
    <row r="184" spans="1:8" x14ac:dyDescent="0.25">
      <c r="A184" s="1">
        <v>16</v>
      </c>
      <c r="B184" s="1">
        <f t="shared" si="9"/>
        <v>0</v>
      </c>
      <c r="C184" s="1"/>
      <c r="D184" s="1"/>
      <c r="E184" s="3"/>
      <c r="F184" s="32"/>
      <c r="G184" s="1" t="s">
        <v>363</v>
      </c>
      <c r="H184" s="24">
        <f>COUNTIF(ValidTeams[],E184)</f>
        <v>0</v>
      </c>
    </row>
    <row r="185" spans="1:8" x14ac:dyDescent="0.25">
      <c r="A185" s="1">
        <v>17</v>
      </c>
      <c r="B185" s="1">
        <f t="shared" si="9"/>
        <v>0</v>
      </c>
      <c r="C185" s="1"/>
      <c r="D185" s="1"/>
      <c r="E185" s="3"/>
      <c r="F185" s="32"/>
      <c r="G185" s="1" t="s">
        <v>363</v>
      </c>
      <c r="H185" s="24">
        <f>COUNTIF(ValidTeams[],E185)</f>
        <v>0</v>
      </c>
    </row>
    <row r="186" spans="1:8" x14ac:dyDescent="0.25">
      <c r="A186" s="1">
        <v>18</v>
      </c>
      <c r="B186" s="1">
        <f t="shared" si="9"/>
        <v>0</v>
      </c>
      <c r="C186" s="1"/>
      <c r="D186" s="1"/>
      <c r="E186" s="3"/>
      <c r="F186" s="32"/>
      <c r="G186" s="1" t="s">
        <v>363</v>
      </c>
      <c r="H186" s="24">
        <f>COUNTIF(ValidTeams[],E186)</f>
        <v>0</v>
      </c>
    </row>
    <row r="187" spans="1:8" x14ac:dyDescent="0.25">
      <c r="A187" s="1">
        <v>19</v>
      </c>
      <c r="B187" s="1">
        <f t="shared" si="9"/>
        <v>0</v>
      </c>
      <c r="C187" s="1"/>
      <c r="D187" s="1"/>
      <c r="E187"/>
      <c r="F187" s="32"/>
      <c r="G187" s="1" t="s">
        <v>363</v>
      </c>
      <c r="H187" s="24">
        <f>COUNTIF(ValidTeams[],E187)</f>
        <v>0</v>
      </c>
    </row>
    <row r="188" spans="1:8" x14ac:dyDescent="0.25">
      <c r="A188" s="1">
        <v>20</v>
      </c>
      <c r="B188" s="1">
        <f t="shared" si="9"/>
        <v>0</v>
      </c>
      <c r="C188" s="1"/>
      <c r="D188" s="1"/>
      <c r="E188" s="3"/>
      <c r="F188" s="32"/>
      <c r="G188" s="1" t="s">
        <v>363</v>
      </c>
      <c r="H188" s="24">
        <f>COUNTIF(ValidTeams[],E188)</f>
        <v>0</v>
      </c>
    </row>
    <row r="189" spans="1:8" x14ac:dyDescent="0.25">
      <c r="A189" s="1">
        <v>21</v>
      </c>
      <c r="B189" s="1">
        <f t="shared" si="9"/>
        <v>0</v>
      </c>
      <c r="C189" s="1"/>
      <c r="D189" s="1"/>
      <c r="E189" s="3"/>
      <c r="F189" s="32"/>
      <c r="G189" s="1" t="s">
        <v>363</v>
      </c>
      <c r="H189" s="24">
        <f>COUNTIF(ValidTeams[],E189)</f>
        <v>0</v>
      </c>
    </row>
    <row r="190" spans="1:8" x14ac:dyDescent="0.25">
      <c r="A190" s="1">
        <v>22</v>
      </c>
      <c r="B190" s="1">
        <f t="shared" si="9"/>
        <v>0</v>
      </c>
      <c r="C190" s="1"/>
      <c r="D190" s="1"/>
      <c r="E190" s="3"/>
      <c r="F190" s="32"/>
      <c r="G190" s="1" t="s">
        <v>363</v>
      </c>
      <c r="H190" s="24">
        <f>COUNTIF(ValidTeams[],E190)</f>
        <v>0</v>
      </c>
    </row>
    <row r="191" spans="1:8" x14ac:dyDescent="0.25">
      <c r="A191" s="6"/>
      <c r="B191" s="6"/>
      <c r="C191" s="6"/>
      <c r="D191" s="6"/>
      <c r="E191" s="21"/>
      <c r="F191" s="33"/>
      <c r="G191" s="6"/>
      <c r="H191" s="34"/>
    </row>
    <row r="192" spans="1:8" x14ac:dyDescent="0.25">
      <c r="A192" s="4" t="s">
        <v>0</v>
      </c>
      <c r="B192" s="4" t="s">
        <v>73</v>
      </c>
      <c r="C192" s="4" t="s">
        <v>1</v>
      </c>
      <c r="D192" s="4" t="s">
        <v>2</v>
      </c>
      <c r="E192" s="5" t="s">
        <v>3</v>
      </c>
      <c r="F192" s="31" t="s">
        <v>4</v>
      </c>
      <c r="G192" s="4" t="s">
        <v>5</v>
      </c>
      <c r="H192" s="4" t="s">
        <v>72</v>
      </c>
    </row>
    <row r="193" spans="1:8" x14ac:dyDescent="0.25">
      <c r="A193" s="1">
        <v>1</v>
      </c>
      <c r="B193">
        <f t="shared" ref="B193:B195" si="10">IF(H193=1,MAX(21-A193,0),0)</f>
        <v>20</v>
      </c>
      <c r="C193" s="1" t="s">
        <v>400</v>
      </c>
      <c r="D193" s="1" t="s">
        <v>401</v>
      </c>
      <c r="E193" s="3" t="s">
        <v>290</v>
      </c>
      <c r="F193" s="32" t="s">
        <v>1448</v>
      </c>
      <c r="G193" s="1" t="s">
        <v>399</v>
      </c>
      <c r="H193" s="6">
        <f>COUNTIF(ValidTeams[],E193)</f>
        <v>1</v>
      </c>
    </row>
    <row r="194" spans="1:8" x14ac:dyDescent="0.25">
      <c r="A194" s="1">
        <v>2</v>
      </c>
      <c r="B194">
        <f t="shared" si="10"/>
        <v>19</v>
      </c>
      <c r="C194" s="1" t="s">
        <v>354</v>
      </c>
      <c r="D194" s="1" t="s">
        <v>81</v>
      </c>
      <c r="E194" s="3" t="s">
        <v>91</v>
      </c>
      <c r="F194" s="32" t="s">
        <v>1449</v>
      </c>
      <c r="G194" s="1" t="s">
        <v>399</v>
      </c>
      <c r="H194" s="6">
        <f>COUNTIF(ValidTeams[],E194)</f>
        <v>1</v>
      </c>
    </row>
    <row r="195" spans="1:8" x14ac:dyDescent="0.25">
      <c r="A195" s="1">
        <v>3</v>
      </c>
      <c r="B195">
        <f t="shared" si="10"/>
        <v>0</v>
      </c>
      <c r="C195" s="1"/>
      <c r="D195" s="1"/>
      <c r="E195" s="3"/>
      <c r="F195" s="32"/>
      <c r="G195" s="1" t="s">
        <v>399</v>
      </c>
      <c r="H195" s="6">
        <f>COUNTIF(ValidTeams[],E195)</f>
        <v>0</v>
      </c>
    </row>
    <row r="196" spans="1:8" x14ac:dyDescent="0.25">
      <c r="A196" s="1">
        <v>4</v>
      </c>
      <c r="B196" s="1">
        <f>IF(H196=1,MAX(21-A196,0),0)</f>
        <v>0</v>
      </c>
      <c r="C196" s="1"/>
      <c r="D196" s="1"/>
      <c r="E196" s="3"/>
      <c r="F196" s="32"/>
      <c r="G196" s="1" t="s">
        <v>399</v>
      </c>
      <c r="H196" s="24">
        <f>COUNTIF(ValidTeams[],E196)</f>
        <v>0</v>
      </c>
    </row>
    <row r="197" spans="1:8" x14ac:dyDescent="0.25">
      <c r="A197" s="1">
        <v>5</v>
      </c>
      <c r="B197" s="1">
        <f>IF(H197=1,MAX(21-A197,0),0)</f>
        <v>0</v>
      </c>
      <c r="C197" s="1"/>
      <c r="D197" s="1"/>
      <c r="E197" s="3"/>
      <c r="F197" s="32"/>
      <c r="G197" s="1" t="s">
        <v>399</v>
      </c>
      <c r="H197" s="24">
        <f>COUNTIF(ValidTeams[],E197)</f>
        <v>0</v>
      </c>
    </row>
    <row r="198" spans="1:8" x14ac:dyDescent="0.25">
      <c r="A198" s="1">
        <v>6</v>
      </c>
      <c r="B198" s="1">
        <f>IF(H198=1,MAX(21-A198,0),0)</f>
        <v>0</v>
      </c>
      <c r="C198" s="1"/>
      <c r="D198" s="1"/>
      <c r="E198" s="3"/>
      <c r="F198" s="32"/>
      <c r="G198" s="1" t="s">
        <v>399</v>
      </c>
      <c r="H198" s="24">
        <f>COUNTIF(ValidTeams[],E198)</f>
        <v>0</v>
      </c>
    </row>
    <row r="199" spans="1:8" x14ac:dyDescent="0.25">
      <c r="A199" s="1">
        <v>7</v>
      </c>
      <c r="B199" s="1">
        <f>IF(H199=1,MAX(21-A199,0),0)</f>
        <v>0</v>
      </c>
      <c r="C199" s="1"/>
      <c r="D199" s="1"/>
      <c r="E199" s="3"/>
      <c r="F199" s="32"/>
      <c r="G199" s="1" t="s">
        <v>399</v>
      </c>
      <c r="H199" s="24">
        <f>COUNTIF(ValidTeams[],E199)</f>
        <v>0</v>
      </c>
    </row>
    <row r="200" spans="1:8" x14ac:dyDescent="0.25">
      <c r="A200" s="1">
        <v>8</v>
      </c>
      <c r="B200" s="1">
        <f>IF(H200=1,MAX(21-A200,0),0)</f>
        <v>0</v>
      </c>
      <c r="C200" s="1"/>
      <c r="D200" s="1"/>
      <c r="E200" s="3"/>
      <c r="F200" s="32"/>
      <c r="G200" s="1" t="s">
        <v>399</v>
      </c>
      <c r="H200" s="24">
        <f>COUNTIF(ValidTeams[],E200)</f>
        <v>0</v>
      </c>
    </row>
    <row r="201" spans="1:8" x14ac:dyDescent="0.25">
      <c r="A201" s="6"/>
      <c r="B201" s="6"/>
      <c r="C201" s="6"/>
      <c r="D201" s="6"/>
      <c r="E201" s="21"/>
      <c r="F201" s="33"/>
      <c r="G201" s="6"/>
      <c r="H201" s="34"/>
    </row>
    <row r="202" spans="1:8" x14ac:dyDescent="0.25">
      <c r="A202" s="4" t="s">
        <v>0</v>
      </c>
      <c r="B202" s="4" t="s">
        <v>73</v>
      </c>
      <c r="C202" s="4" t="s">
        <v>1</v>
      </c>
      <c r="D202" s="4" t="s">
        <v>2</v>
      </c>
      <c r="E202" s="5" t="s">
        <v>3</v>
      </c>
      <c r="F202" s="31" t="s">
        <v>4</v>
      </c>
      <c r="G202" s="4" t="s">
        <v>5</v>
      </c>
      <c r="H202" s="4" t="s">
        <v>72</v>
      </c>
    </row>
    <row r="203" spans="1:8" x14ac:dyDescent="0.25">
      <c r="A203" s="1">
        <v>1</v>
      </c>
      <c r="B203">
        <f t="shared" ref="B203:B215" si="11">IF(H203=1,MAX(21-A203,0),0)</f>
        <v>20</v>
      </c>
      <c r="C203" s="1" t="s">
        <v>406</v>
      </c>
      <c r="D203" s="1" t="s">
        <v>186</v>
      </c>
      <c r="E203" s="3" t="s">
        <v>407</v>
      </c>
      <c r="F203" s="32" t="s">
        <v>1463</v>
      </c>
      <c r="G203" s="1" t="s">
        <v>405</v>
      </c>
      <c r="H203" s="6">
        <f>COUNTIF(ValidTeams[],E203)</f>
        <v>1</v>
      </c>
    </row>
    <row r="204" spans="1:8" x14ac:dyDescent="0.25">
      <c r="A204" s="1">
        <v>2</v>
      </c>
      <c r="B204">
        <f t="shared" si="11"/>
        <v>19</v>
      </c>
      <c r="C204" s="1" t="s">
        <v>409</v>
      </c>
      <c r="D204" s="1" t="s">
        <v>225</v>
      </c>
      <c r="E204" s="3" t="s">
        <v>88</v>
      </c>
      <c r="F204" s="32" t="s">
        <v>809</v>
      </c>
      <c r="G204" s="1" t="s">
        <v>405</v>
      </c>
      <c r="H204" s="6">
        <f>COUNTIF(ValidTeams[],E204)</f>
        <v>1</v>
      </c>
    </row>
    <row r="205" spans="1:8" x14ac:dyDescent="0.25">
      <c r="A205" s="1">
        <v>3</v>
      </c>
      <c r="B205">
        <f t="shared" si="11"/>
        <v>0</v>
      </c>
      <c r="C205" s="1" t="s">
        <v>1464</v>
      </c>
      <c r="D205" s="1" t="s">
        <v>1465</v>
      </c>
      <c r="E205" s="3" t="s">
        <v>1466</v>
      </c>
      <c r="F205" s="32" t="s">
        <v>1467</v>
      </c>
      <c r="G205" s="1" t="s">
        <v>405</v>
      </c>
      <c r="H205" s="6">
        <f>COUNTIF(ValidTeams[],E205)</f>
        <v>0</v>
      </c>
    </row>
    <row r="206" spans="1:8" x14ac:dyDescent="0.25">
      <c r="A206" s="1">
        <v>4</v>
      </c>
      <c r="B206">
        <f t="shared" si="11"/>
        <v>0</v>
      </c>
      <c r="C206" s="1"/>
      <c r="D206" s="1"/>
      <c r="E206" s="3"/>
      <c r="F206" s="32"/>
      <c r="G206" s="1" t="s">
        <v>405</v>
      </c>
      <c r="H206" s="6">
        <f>COUNTIF(ValidTeams[],E206)</f>
        <v>0</v>
      </c>
    </row>
    <row r="207" spans="1:8" x14ac:dyDescent="0.25">
      <c r="A207" s="1">
        <v>5</v>
      </c>
      <c r="B207">
        <f t="shared" si="11"/>
        <v>0</v>
      </c>
      <c r="C207" s="1"/>
      <c r="D207" s="1"/>
      <c r="E207" s="3"/>
      <c r="F207" s="32"/>
      <c r="G207" s="1" t="s">
        <v>405</v>
      </c>
      <c r="H207" s="6">
        <f>COUNTIF(ValidTeams[],E207)</f>
        <v>0</v>
      </c>
    </row>
    <row r="208" spans="1:8" x14ac:dyDescent="0.25">
      <c r="A208" s="1">
        <v>6</v>
      </c>
      <c r="B208">
        <f t="shared" si="11"/>
        <v>0</v>
      </c>
      <c r="C208" s="1"/>
      <c r="D208" s="1"/>
      <c r="E208" s="3"/>
      <c r="F208" s="32"/>
      <c r="G208" s="1" t="s">
        <v>405</v>
      </c>
      <c r="H208" s="6">
        <f>COUNTIF(ValidTeams[],E208)</f>
        <v>0</v>
      </c>
    </row>
    <row r="209" spans="1:8" x14ac:dyDescent="0.25">
      <c r="A209" s="1">
        <v>7</v>
      </c>
      <c r="B209">
        <f t="shared" si="11"/>
        <v>0</v>
      </c>
      <c r="C209" s="1"/>
      <c r="D209" s="1"/>
      <c r="E209" s="3"/>
      <c r="F209" s="32"/>
      <c r="G209" s="1" t="s">
        <v>405</v>
      </c>
      <c r="H209" s="6">
        <f>COUNTIF(ValidTeams[],E209)</f>
        <v>0</v>
      </c>
    </row>
    <row r="210" spans="1:8" x14ac:dyDescent="0.25">
      <c r="A210" s="1">
        <v>8</v>
      </c>
      <c r="B210" s="1">
        <f t="shared" si="11"/>
        <v>0</v>
      </c>
      <c r="C210" s="1"/>
      <c r="D210" s="1"/>
      <c r="E210" s="3"/>
      <c r="F210" s="32"/>
      <c r="G210" s="1" t="s">
        <v>405</v>
      </c>
      <c r="H210" s="24">
        <f>COUNTIF(ValidTeams[],E210)</f>
        <v>0</v>
      </c>
    </row>
    <row r="211" spans="1:8" x14ac:dyDescent="0.25">
      <c r="A211" s="1">
        <v>9</v>
      </c>
      <c r="B211" s="1">
        <f t="shared" si="11"/>
        <v>0</v>
      </c>
      <c r="C211" s="1"/>
      <c r="D211" s="1"/>
      <c r="E211" s="3"/>
      <c r="F211" s="32"/>
      <c r="G211" s="1" t="s">
        <v>405</v>
      </c>
      <c r="H211" s="24">
        <f>COUNTIF(ValidTeams[],E211)</f>
        <v>0</v>
      </c>
    </row>
    <row r="212" spans="1:8" x14ac:dyDescent="0.25">
      <c r="A212" s="1">
        <v>10</v>
      </c>
      <c r="B212" s="1">
        <f t="shared" si="11"/>
        <v>0</v>
      </c>
      <c r="C212" s="1"/>
      <c r="D212" s="1"/>
      <c r="E212" s="3"/>
      <c r="F212" s="32"/>
      <c r="G212" s="1" t="s">
        <v>405</v>
      </c>
      <c r="H212" s="24">
        <f>COUNTIF(ValidTeams[],E212)</f>
        <v>0</v>
      </c>
    </row>
    <row r="213" spans="1:8" x14ac:dyDescent="0.25">
      <c r="A213" s="1">
        <v>11</v>
      </c>
      <c r="B213" s="1">
        <f t="shared" si="11"/>
        <v>0</v>
      </c>
      <c r="C213" s="1"/>
      <c r="D213" s="1"/>
      <c r="E213" s="3"/>
      <c r="F213" s="32"/>
      <c r="G213" s="1" t="s">
        <v>405</v>
      </c>
      <c r="H213" s="24">
        <f>COUNTIF(ValidTeams[],E213)</f>
        <v>0</v>
      </c>
    </row>
    <row r="214" spans="1:8" x14ac:dyDescent="0.25">
      <c r="A214" s="1">
        <v>12</v>
      </c>
      <c r="B214" s="1">
        <f t="shared" si="11"/>
        <v>0</v>
      </c>
      <c r="C214" s="1"/>
      <c r="D214" s="1"/>
      <c r="E214" s="3"/>
      <c r="F214" s="32"/>
      <c r="G214" s="1" t="s">
        <v>405</v>
      </c>
      <c r="H214" s="24">
        <f>COUNTIF(ValidTeams[],E214)</f>
        <v>0</v>
      </c>
    </row>
    <row r="215" spans="1:8" x14ac:dyDescent="0.25">
      <c r="A215" s="1">
        <v>13</v>
      </c>
      <c r="B215" s="1">
        <f t="shared" si="11"/>
        <v>0</v>
      </c>
      <c r="C215" s="1"/>
      <c r="D215" s="1"/>
      <c r="E215" s="3"/>
      <c r="F215" s="32"/>
      <c r="G215" s="1" t="s">
        <v>405</v>
      </c>
      <c r="H215" s="24">
        <f>COUNTIF(ValidTeams[],E215)</f>
        <v>0</v>
      </c>
    </row>
    <row r="216" spans="1:8" x14ac:dyDescent="0.25">
      <c r="A216" s="6"/>
      <c r="B216" s="6"/>
      <c r="C216" s="6"/>
      <c r="D216" s="6"/>
      <c r="E216" s="21"/>
      <c r="F216" s="33"/>
      <c r="G216" s="6"/>
      <c r="H216" s="34"/>
    </row>
    <row r="217" spans="1:8" x14ac:dyDescent="0.25">
      <c r="A217" s="4" t="s">
        <v>0</v>
      </c>
      <c r="B217" s="4" t="s">
        <v>73</v>
      </c>
      <c r="C217" s="4" t="s">
        <v>1</v>
      </c>
      <c r="D217" s="4" t="s">
        <v>2</v>
      </c>
      <c r="E217" s="5" t="s">
        <v>3</v>
      </c>
      <c r="F217" s="31" t="s">
        <v>4</v>
      </c>
      <c r="G217" s="4" t="s">
        <v>5</v>
      </c>
      <c r="H217" s="4" t="s">
        <v>72</v>
      </c>
    </row>
    <row r="218" spans="1:8" x14ac:dyDescent="0.25">
      <c r="A218" s="1">
        <v>1</v>
      </c>
      <c r="B218">
        <f t="shared" ref="B218:B226" si="12">IF(H218=1,MAX(21-A218,0),0)</f>
        <v>20</v>
      </c>
      <c r="C218" s="1" t="s">
        <v>427</v>
      </c>
      <c r="D218" s="1" t="s">
        <v>428</v>
      </c>
      <c r="E218" s="21" t="s">
        <v>1236</v>
      </c>
      <c r="F218" s="32" t="s">
        <v>1468</v>
      </c>
      <c r="G218" s="1" t="s">
        <v>426</v>
      </c>
      <c r="H218" s="6">
        <f>COUNTIF(ValidTeams[],E218)</f>
        <v>1</v>
      </c>
    </row>
    <row r="219" spans="1:8" x14ac:dyDescent="0.25">
      <c r="A219" s="1">
        <v>2</v>
      </c>
      <c r="B219">
        <f t="shared" si="12"/>
        <v>19</v>
      </c>
      <c r="C219" s="1" t="s">
        <v>1360</v>
      </c>
      <c r="D219" s="1" t="s">
        <v>1361</v>
      </c>
      <c r="E219" s="3" t="s">
        <v>1362</v>
      </c>
      <c r="F219" s="32" t="s">
        <v>1469</v>
      </c>
      <c r="G219" s="1" t="s">
        <v>426</v>
      </c>
      <c r="H219" s="6">
        <f>COUNTIF(ValidTeams[],E219)</f>
        <v>1</v>
      </c>
    </row>
    <row r="220" spans="1:8" x14ac:dyDescent="0.25">
      <c r="A220" s="1">
        <v>3</v>
      </c>
      <c r="B220">
        <f t="shared" si="12"/>
        <v>18</v>
      </c>
      <c r="C220" s="1" t="s">
        <v>430</v>
      </c>
      <c r="D220" s="1" t="s">
        <v>431</v>
      </c>
      <c r="E220" s="3" t="s">
        <v>100</v>
      </c>
      <c r="F220" s="32" t="s">
        <v>1470</v>
      </c>
      <c r="G220" s="1" t="s">
        <v>426</v>
      </c>
      <c r="H220" s="6">
        <f>COUNTIF(ValidTeams[],E220)</f>
        <v>1</v>
      </c>
    </row>
    <row r="221" spans="1:8" x14ac:dyDescent="0.25">
      <c r="A221" s="1">
        <v>4</v>
      </c>
      <c r="B221" s="1">
        <f t="shared" si="12"/>
        <v>0</v>
      </c>
      <c r="C221" s="1"/>
      <c r="D221" s="1"/>
      <c r="E221" s="3"/>
      <c r="F221" s="32"/>
      <c r="G221" s="1" t="s">
        <v>426</v>
      </c>
      <c r="H221" s="24">
        <f>COUNTIF(ValidTeams[],E221)</f>
        <v>0</v>
      </c>
    </row>
    <row r="222" spans="1:8" x14ac:dyDescent="0.25">
      <c r="A222" s="1">
        <v>5</v>
      </c>
      <c r="B222" s="1">
        <f t="shared" si="12"/>
        <v>0</v>
      </c>
      <c r="C222" s="1"/>
      <c r="D222" s="1"/>
      <c r="E222" s="3"/>
      <c r="F222" s="32"/>
      <c r="G222" s="1" t="s">
        <v>426</v>
      </c>
      <c r="H222" s="24">
        <f>COUNTIF(ValidTeams[],E222)</f>
        <v>0</v>
      </c>
    </row>
    <row r="223" spans="1:8" x14ac:dyDescent="0.25">
      <c r="A223" s="1">
        <v>6</v>
      </c>
      <c r="B223" s="1">
        <f t="shared" si="12"/>
        <v>0</v>
      </c>
      <c r="C223" s="1"/>
      <c r="D223" s="1"/>
      <c r="E223" s="3"/>
      <c r="F223" s="32"/>
      <c r="G223" s="1" t="s">
        <v>426</v>
      </c>
      <c r="H223" s="24">
        <f>COUNTIF(ValidTeams[],E223)</f>
        <v>0</v>
      </c>
    </row>
    <row r="224" spans="1:8" x14ac:dyDescent="0.25">
      <c r="A224" s="1">
        <v>7</v>
      </c>
      <c r="B224" s="1">
        <f t="shared" si="12"/>
        <v>0</v>
      </c>
      <c r="C224" s="1"/>
      <c r="D224" s="1"/>
      <c r="E224" s="3"/>
      <c r="F224" s="32"/>
      <c r="G224" s="1" t="s">
        <v>426</v>
      </c>
      <c r="H224" s="24">
        <f>COUNTIF(ValidTeams[],E224)</f>
        <v>0</v>
      </c>
    </row>
    <row r="225" spans="1:8" x14ac:dyDescent="0.25">
      <c r="A225" s="1">
        <v>8</v>
      </c>
      <c r="B225" s="1">
        <f t="shared" si="12"/>
        <v>0</v>
      </c>
      <c r="C225" s="1"/>
      <c r="D225" s="1"/>
      <c r="E225" s="3"/>
      <c r="F225" s="32"/>
      <c r="G225" s="1" t="s">
        <v>426</v>
      </c>
      <c r="H225" s="24">
        <f>COUNTIF(ValidTeams[],E225)</f>
        <v>0</v>
      </c>
    </row>
    <row r="226" spans="1:8" x14ac:dyDescent="0.25">
      <c r="A226" s="1">
        <v>9</v>
      </c>
      <c r="B226" s="1">
        <f t="shared" si="12"/>
        <v>0</v>
      </c>
      <c r="C226" s="1"/>
      <c r="D226" s="1"/>
      <c r="E226" s="3"/>
      <c r="F226" s="32"/>
      <c r="G226" s="1" t="s">
        <v>426</v>
      </c>
      <c r="H226" s="24">
        <f>COUNTIF(ValidTeams[],E226)</f>
        <v>0</v>
      </c>
    </row>
    <row r="227" spans="1:8" x14ac:dyDescent="0.25">
      <c r="F227" s="29"/>
    </row>
    <row r="228" spans="1:8" x14ac:dyDescent="0.25">
      <c r="F228" s="29"/>
    </row>
    <row r="229" spans="1:8" x14ac:dyDescent="0.25">
      <c r="F229" s="29"/>
    </row>
    <row r="230" spans="1:8" x14ac:dyDescent="0.25">
      <c r="F230" s="29"/>
    </row>
    <row r="231" spans="1:8" x14ac:dyDescent="0.25">
      <c r="F231" s="29"/>
    </row>
    <row r="232" spans="1:8" x14ac:dyDescent="0.25">
      <c r="F232" s="29"/>
    </row>
    <row r="233" spans="1:8" x14ac:dyDescent="0.25">
      <c r="F233" s="29"/>
    </row>
    <row r="234" spans="1:8" x14ac:dyDescent="0.25">
      <c r="F234" s="29"/>
    </row>
    <row r="235" spans="1:8" x14ac:dyDescent="0.25">
      <c r="F235" s="29"/>
    </row>
    <row r="236" spans="1:8" x14ac:dyDescent="0.25">
      <c r="F236" s="29"/>
    </row>
    <row r="237" spans="1:8" x14ac:dyDescent="0.25">
      <c r="F237" s="29"/>
    </row>
    <row r="238" spans="1:8" x14ac:dyDescent="0.25">
      <c r="F238" s="29"/>
    </row>
    <row r="239" spans="1:8" x14ac:dyDescent="0.25">
      <c r="F239" s="29"/>
    </row>
    <row r="240" spans="1:8" x14ac:dyDescent="0.25">
      <c r="F240" s="29"/>
    </row>
    <row r="241" spans="6:6" x14ac:dyDescent="0.25">
      <c r="F241" s="29"/>
    </row>
    <row r="242" spans="6:6" x14ac:dyDescent="0.25">
      <c r="F242" s="29"/>
    </row>
    <row r="243" spans="6:6" x14ac:dyDescent="0.25">
      <c r="F243" s="29"/>
    </row>
    <row r="244" spans="6:6" x14ac:dyDescent="0.25">
      <c r="F244" s="29"/>
    </row>
    <row r="245" spans="6:6" x14ac:dyDescent="0.25">
      <c r="F245" s="29"/>
    </row>
    <row r="246" spans="6:6" x14ac:dyDescent="0.25">
      <c r="F246" s="29"/>
    </row>
    <row r="247" spans="6:6" x14ac:dyDescent="0.25">
      <c r="F247" s="29"/>
    </row>
    <row r="248" spans="6:6" x14ac:dyDescent="0.25">
      <c r="F248" s="29"/>
    </row>
    <row r="249" spans="6:6" x14ac:dyDescent="0.25">
      <c r="F249" s="29"/>
    </row>
    <row r="250" spans="6:6" x14ac:dyDescent="0.25">
      <c r="F250" s="29"/>
    </row>
    <row r="251" spans="6:6" x14ac:dyDescent="0.25">
      <c r="F251" s="29"/>
    </row>
    <row r="252" spans="6:6" x14ac:dyDescent="0.25">
      <c r="F252" s="29"/>
    </row>
    <row r="253" spans="6:6" x14ac:dyDescent="0.25">
      <c r="F253" s="29"/>
    </row>
    <row r="254" spans="6:6" x14ac:dyDescent="0.25">
      <c r="F254" s="29"/>
    </row>
    <row r="255" spans="6:6" x14ac:dyDescent="0.25">
      <c r="F255" s="29"/>
    </row>
    <row r="256" spans="6:6" x14ac:dyDescent="0.25">
      <c r="F256" s="29"/>
    </row>
    <row r="257" spans="6:6" x14ac:dyDescent="0.25">
      <c r="F257" s="29"/>
    </row>
    <row r="258" spans="6:6" x14ac:dyDescent="0.25">
      <c r="F258" s="29"/>
    </row>
    <row r="259" spans="6:6" x14ac:dyDescent="0.25">
      <c r="F259" s="29"/>
    </row>
    <row r="260" spans="6:6" x14ac:dyDescent="0.25">
      <c r="F260" s="29"/>
    </row>
    <row r="261" spans="6:6" x14ac:dyDescent="0.25">
      <c r="F261" s="29"/>
    </row>
    <row r="262" spans="6:6" x14ac:dyDescent="0.25">
      <c r="F262" s="29"/>
    </row>
    <row r="263" spans="6:6" x14ac:dyDescent="0.25">
      <c r="F263" s="29"/>
    </row>
    <row r="264" spans="6:6" x14ac:dyDescent="0.25">
      <c r="F264" s="29"/>
    </row>
    <row r="265" spans="6:6" x14ac:dyDescent="0.25">
      <c r="F265" s="29"/>
    </row>
    <row r="266" spans="6:6" x14ac:dyDescent="0.25">
      <c r="F266" s="29"/>
    </row>
    <row r="267" spans="6:6" x14ac:dyDescent="0.25">
      <c r="F267" s="29"/>
    </row>
    <row r="268" spans="6:6" x14ac:dyDescent="0.25">
      <c r="F268" s="29"/>
    </row>
    <row r="269" spans="6:6" x14ac:dyDescent="0.25">
      <c r="F269" s="29"/>
    </row>
    <row r="270" spans="6:6" x14ac:dyDescent="0.25">
      <c r="F270" s="29"/>
    </row>
    <row r="271" spans="6:6" x14ac:dyDescent="0.25">
      <c r="F271" s="29"/>
    </row>
    <row r="272" spans="6:6" x14ac:dyDescent="0.25">
      <c r="F272" s="29"/>
    </row>
    <row r="273" spans="6:6" x14ac:dyDescent="0.25">
      <c r="F273" s="29"/>
    </row>
    <row r="274" spans="6:6" x14ac:dyDescent="0.25">
      <c r="F274" s="29"/>
    </row>
    <row r="275" spans="6:6" x14ac:dyDescent="0.25">
      <c r="F275" s="29"/>
    </row>
    <row r="276" spans="6:6" x14ac:dyDescent="0.25">
      <c r="F276" s="29"/>
    </row>
    <row r="277" spans="6:6" x14ac:dyDescent="0.25">
      <c r="F277" s="29"/>
    </row>
    <row r="278" spans="6:6" x14ac:dyDescent="0.25">
      <c r="F278" s="29"/>
    </row>
    <row r="279" spans="6:6" x14ac:dyDescent="0.25">
      <c r="F279" s="29"/>
    </row>
    <row r="280" spans="6:6" x14ac:dyDescent="0.25">
      <c r="F280" s="29"/>
    </row>
    <row r="281" spans="6:6" x14ac:dyDescent="0.25">
      <c r="F281" s="29"/>
    </row>
    <row r="282" spans="6:6" x14ac:dyDescent="0.25">
      <c r="F282" s="29"/>
    </row>
    <row r="283" spans="6:6" x14ac:dyDescent="0.25">
      <c r="F283" s="29"/>
    </row>
    <row r="284" spans="6:6" x14ac:dyDescent="0.25">
      <c r="F284" s="29"/>
    </row>
    <row r="285" spans="6:6" x14ac:dyDescent="0.25">
      <c r="F285" s="29"/>
    </row>
    <row r="286" spans="6:6" x14ac:dyDescent="0.25">
      <c r="F286" s="29"/>
    </row>
    <row r="287" spans="6:6" x14ac:dyDescent="0.25">
      <c r="F287" s="29"/>
    </row>
    <row r="288" spans="6:6" x14ac:dyDescent="0.25">
      <c r="F288" s="29"/>
    </row>
    <row r="289" spans="6:6" x14ac:dyDescent="0.25">
      <c r="F289" s="29"/>
    </row>
    <row r="290" spans="6:6" x14ac:dyDescent="0.25">
      <c r="F290" s="29"/>
    </row>
    <row r="291" spans="6:6" x14ac:dyDescent="0.25">
      <c r="F291" s="29"/>
    </row>
    <row r="292" spans="6:6" x14ac:dyDescent="0.25">
      <c r="F292" s="29"/>
    </row>
    <row r="293" spans="6:6" x14ac:dyDescent="0.25">
      <c r="F293" s="29"/>
    </row>
    <row r="294" spans="6:6" x14ac:dyDescent="0.25">
      <c r="F294" s="29"/>
    </row>
    <row r="295" spans="6:6" x14ac:dyDescent="0.25">
      <c r="F295" s="29"/>
    </row>
    <row r="296" spans="6:6" x14ac:dyDescent="0.25">
      <c r="F296" s="29"/>
    </row>
    <row r="297" spans="6:6" x14ac:dyDescent="0.25">
      <c r="F297" s="29"/>
    </row>
    <row r="298" spans="6:6" x14ac:dyDescent="0.25">
      <c r="F298" s="29"/>
    </row>
    <row r="299" spans="6:6" x14ac:dyDescent="0.25">
      <c r="F299" s="29"/>
    </row>
    <row r="300" spans="6:6" x14ac:dyDescent="0.25">
      <c r="F300" s="29"/>
    </row>
    <row r="301" spans="6:6" x14ac:dyDescent="0.25">
      <c r="F301" s="29"/>
    </row>
    <row r="302" spans="6:6" x14ac:dyDescent="0.25">
      <c r="F302" s="29"/>
    </row>
    <row r="303" spans="6:6" x14ac:dyDescent="0.25">
      <c r="F303" s="29"/>
    </row>
    <row r="304" spans="6:6" x14ac:dyDescent="0.25">
      <c r="F304" s="29"/>
    </row>
    <row r="305" spans="6:6" x14ac:dyDescent="0.25">
      <c r="F305" s="29"/>
    </row>
    <row r="306" spans="6:6" x14ac:dyDescent="0.25">
      <c r="F306" s="29"/>
    </row>
    <row r="307" spans="6:6" x14ac:dyDescent="0.25">
      <c r="F307" s="29"/>
    </row>
    <row r="308" spans="6:6" x14ac:dyDescent="0.25">
      <c r="F308" s="29"/>
    </row>
  </sheetData>
  <conditionalFormatting sqref="H1:H1048576">
    <cfRule type="cellIs" dxfId="907" priority="2" operator="lessThan">
      <formula>1</formula>
    </cfRule>
  </conditionalFormatting>
  <conditionalFormatting sqref="E187">
    <cfRule type="expression" dxfId="906" priority="1">
      <formula>"COUNTIF(K3:K47,E4)&lt;1"</formula>
    </cfRule>
  </conditionalFormatting>
  <pageMargins left="0.7" right="0.7" top="0.75" bottom="0.75" header="0.3" footer="0.3"/>
  <pageSetup scale="89" fitToHeight="0" orientation="landscape" horizontalDpi="4294967293" r:id="rId1"/>
  <tableParts count="1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C89D4-237A-404B-BAC0-B232E52DFB28}">
  <sheetPr codeName="Sheet10">
    <pageSetUpPr fitToPage="1"/>
  </sheetPr>
  <dimension ref="A1:H314"/>
  <sheetViews>
    <sheetView topLeftCell="A197" zoomScaleNormal="100" workbookViewId="0">
      <selection activeCell="F230" sqref="F230"/>
    </sheetView>
  </sheetViews>
  <sheetFormatPr defaultRowHeight="15" x14ac:dyDescent="0.25"/>
  <cols>
    <col min="2" max="2" width="17" customWidth="1"/>
    <col min="3" max="3" width="14.85546875" customWidth="1"/>
    <col min="4" max="4" width="12.28515625" customWidth="1"/>
    <col min="5" max="5" width="37.5703125" style="2" customWidth="1"/>
    <col min="6" max="6" width="15.140625" style="30" customWidth="1"/>
    <col min="7" max="7" width="21.140625" customWidth="1"/>
    <col min="10" max="10" width="12.7109375" customWidth="1"/>
    <col min="11" max="11" width="42.7109375" bestFit="1" customWidth="1"/>
    <col min="14" max="14" width="8.42578125" bestFit="1" customWidth="1"/>
  </cols>
  <sheetData>
    <row r="1" spans="1:8" x14ac:dyDescent="0.25">
      <c r="A1" t="s">
        <v>0</v>
      </c>
      <c r="B1" t="s">
        <v>73</v>
      </c>
      <c r="C1" t="s">
        <v>1</v>
      </c>
      <c r="D1" t="s">
        <v>2</v>
      </c>
      <c r="E1" t="s">
        <v>3</v>
      </c>
      <c r="F1" s="29" t="s">
        <v>4</v>
      </c>
      <c r="G1" t="s">
        <v>5</v>
      </c>
      <c r="H1" t="s">
        <v>458</v>
      </c>
    </row>
    <row r="2" spans="1:8" x14ac:dyDescent="0.25">
      <c r="A2">
        <v>1</v>
      </c>
      <c r="B2">
        <f t="shared" ref="B2:B20" si="0">IF(H2=1,MAX(21-A2,0),0)</f>
        <v>20</v>
      </c>
      <c r="C2" t="s">
        <v>6</v>
      </c>
      <c r="D2" t="s">
        <v>7</v>
      </c>
      <c r="E2" t="s">
        <v>8</v>
      </c>
      <c r="F2" s="29" t="s">
        <v>1488</v>
      </c>
      <c r="G2" t="s">
        <v>9</v>
      </c>
      <c r="H2">
        <f>COUNTIF(ValidTeams[],E2)</f>
        <v>1</v>
      </c>
    </row>
    <row r="3" spans="1:8" x14ac:dyDescent="0.25">
      <c r="A3">
        <v>2</v>
      </c>
      <c r="B3">
        <f t="shared" si="0"/>
        <v>19</v>
      </c>
      <c r="C3" t="s">
        <v>10</v>
      </c>
      <c r="D3" t="s">
        <v>11</v>
      </c>
      <c r="E3" t="s">
        <v>12</v>
      </c>
      <c r="F3" s="29" t="s">
        <v>1489</v>
      </c>
      <c r="G3" t="s">
        <v>9</v>
      </c>
      <c r="H3">
        <f>COUNTIF(ValidTeams[],E3)</f>
        <v>1</v>
      </c>
    </row>
    <row r="4" spans="1:8" x14ac:dyDescent="0.25">
      <c r="A4">
        <v>3</v>
      </c>
      <c r="B4">
        <f t="shared" si="0"/>
        <v>18</v>
      </c>
      <c r="C4" t="s">
        <v>513</v>
      </c>
      <c r="D4" t="s">
        <v>30</v>
      </c>
      <c r="E4" t="s">
        <v>442</v>
      </c>
      <c r="F4" s="29" t="s">
        <v>735</v>
      </c>
      <c r="G4" t="s">
        <v>9</v>
      </c>
      <c r="H4">
        <f>COUNTIF(ValidTeams[],E4)</f>
        <v>1</v>
      </c>
    </row>
    <row r="5" spans="1:8" x14ac:dyDescent="0.25">
      <c r="A5">
        <v>4</v>
      </c>
      <c r="B5">
        <f t="shared" si="0"/>
        <v>0</v>
      </c>
      <c r="C5" t="s">
        <v>1369</v>
      </c>
      <c r="D5" t="s">
        <v>1239</v>
      </c>
      <c r="E5" t="s">
        <v>1370</v>
      </c>
      <c r="F5" s="29" t="s">
        <v>1490</v>
      </c>
      <c r="G5" t="s">
        <v>9</v>
      </c>
      <c r="H5">
        <f>COUNTIF(ValidTeams[],E5)</f>
        <v>0</v>
      </c>
    </row>
    <row r="6" spans="1:8" x14ac:dyDescent="0.25">
      <c r="A6">
        <v>5</v>
      </c>
      <c r="B6">
        <f t="shared" si="0"/>
        <v>0</v>
      </c>
      <c r="C6" t="s">
        <v>703</v>
      </c>
      <c r="D6" t="s">
        <v>310</v>
      </c>
      <c r="E6" t="s">
        <v>706</v>
      </c>
      <c r="F6" s="29" t="s">
        <v>1491</v>
      </c>
      <c r="G6" t="s">
        <v>9</v>
      </c>
      <c r="H6">
        <f>COUNTIF(ValidTeams[],E6)</f>
        <v>0</v>
      </c>
    </row>
    <row r="7" spans="1:8" x14ac:dyDescent="0.25">
      <c r="A7">
        <v>6</v>
      </c>
      <c r="B7">
        <f t="shared" si="0"/>
        <v>15</v>
      </c>
      <c r="C7" t="s">
        <v>13</v>
      </c>
      <c r="D7" t="s">
        <v>14</v>
      </c>
      <c r="E7" t="s">
        <v>15</v>
      </c>
      <c r="F7" s="29" t="s">
        <v>1492</v>
      </c>
      <c r="G7" t="s">
        <v>9</v>
      </c>
      <c r="H7">
        <f>COUNTIF(ValidTeams[],E7)</f>
        <v>1</v>
      </c>
    </row>
    <row r="8" spans="1:8" x14ac:dyDescent="0.25">
      <c r="A8">
        <v>7</v>
      </c>
      <c r="B8">
        <f t="shared" si="0"/>
        <v>0</v>
      </c>
      <c r="C8" t="s">
        <v>709</v>
      </c>
      <c r="D8" t="s">
        <v>524</v>
      </c>
      <c r="E8" t="s">
        <v>710</v>
      </c>
      <c r="F8" s="29" t="s">
        <v>1493</v>
      </c>
      <c r="G8" t="s">
        <v>9</v>
      </c>
      <c r="H8">
        <f>COUNTIF(ValidTeams[],E8)</f>
        <v>0</v>
      </c>
    </row>
    <row r="9" spans="1:8" x14ac:dyDescent="0.25">
      <c r="A9">
        <v>8</v>
      </c>
      <c r="B9">
        <f t="shared" si="0"/>
        <v>0</v>
      </c>
      <c r="C9" t="s">
        <v>1494</v>
      </c>
      <c r="D9" t="s">
        <v>595</v>
      </c>
      <c r="E9" t="s">
        <v>1260</v>
      </c>
      <c r="F9" s="29" t="s">
        <v>1495</v>
      </c>
      <c r="G9" t="s">
        <v>9</v>
      </c>
      <c r="H9">
        <f>COUNTIF(ValidTeams[],E9)</f>
        <v>0</v>
      </c>
    </row>
    <row r="10" spans="1:8" x14ac:dyDescent="0.25">
      <c r="A10">
        <v>9</v>
      </c>
      <c r="B10">
        <f t="shared" si="0"/>
        <v>12</v>
      </c>
      <c r="C10" t="s">
        <v>16</v>
      </c>
      <c r="D10" t="s">
        <v>17</v>
      </c>
      <c r="E10" t="s">
        <v>18</v>
      </c>
      <c r="F10" s="29" t="s">
        <v>1496</v>
      </c>
      <c r="G10" t="s">
        <v>9</v>
      </c>
      <c r="H10">
        <f>COUNTIF(ValidTeams[],E10)</f>
        <v>1</v>
      </c>
    </row>
    <row r="11" spans="1:8" x14ac:dyDescent="0.25">
      <c r="A11">
        <v>10</v>
      </c>
      <c r="B11">
        <f t="shared" si="0"/>
        <v>0</v>
      </c>
      <c r="C11" t="s">
        <v>1497</v>
      </c>
      <c r="D11" t="s">
        <v>1498</v>
      </c>
      <c r="E11" t="s">
        <v>1499</v>
      </c>
      <c r="F11" s="29" t="s">
        <v>1500</v>
      </c>
      <c r="G11" t="s">
        <v>9</v>
      </c>
      <c r="H11">
        <f>COUNTIF(ValidTeams[],E11)</f>
        <v>0</v>
      </c>
    </row>
    <row r="12" spans="1:8" x14ac:dyDescent="0.25">
      <c r="A12">
        <v>11</v>
      </c>
      <c r="B12">
        <f t="shared" si="0"/>
        <v>0</v>
      </c>
      <c r="C12" t="s">
        <v>1501</v>
      </c>
      <c r="D12" t="s">
        <v>174</v>
      </c>
      <c r="E12"/>
      <c r="F12" s="29" t="s">
        <v>1502</v>
      </c>
      <c r="G12" t="s">
        <v>9</v>
      </c>
      <c r="H12">
        <f>COUNTIF(ValidTeams[],E12)</f>
        <v>0</v>
      </c>
    </row>
    <row r="13" spans="1:8" x14ac:dyDescent="0.25">
      <c r="A13">
        <v>12</v>
      </c>
      <c r="B13" s="23">
        <f t="shared" si="0"/>
        <v>9</v>
      </c>
      <c r="C13" t="s">
        <v>106</v>
      </c>
      <c r="D13" t="s">
        <v>107</v>
      </c>
      <c r="E13" s="2" t="s">
        <v>100</v>
      </c>
      <c r="F13" s="29" t="s">
        <v>1382</v>
      </c>
      <c r="G13" t="s">
        <v>9</v>
      </c>
      <c r="H13" s="23">
        <f>COUNTIF(ValidTeams[],E13)</f>
        <v>1</v>
      </c>
    </row>
    <row r="14" spans="1:8" x14ac:dyDescent="0.25">
      <c r="A14">
        <v>13</v>
      </c>
      <c r="B14" s="23">
        <f t="shared" si="0"/>
        <v>0</v>
      </c>
      <c r="C14" t="s">
        <v>716</v>
      </c>
      <c r="D14" t="s">
        <v>717</v>
      </c>
      <c r="F14" s="29" t="s">
        <v>1503</v>
      </c>
      <c r="G14" t="s">
        <v>9</v>
      </c>
      <c r="H14" s="23">
        <f>COUNTIF(ValidTeams[],E14)</f>
        <v>0</v>
      </c>
    </row>
    <row r="15" spans="1:8" x14ac:dyDescent="0.25">
      <c r="A15">
        <v>14</v>
      </c>
      <c r="B15" s="23">
        <f t="shared" si="0"/>
        <v>7</v>
      </c>
      <c r="C15" t="s">
        <v>1504</v>
      </c>
      <c r="D15" t="s">
        <v>23</v>
      </c>
      <c r="E15" s="2" t="s">
        <v>44</v>
      </c>
      <c r="F15" s="29" t="s">
        <v>1505</v>
      </c>
      <c r="G15" t="s">
        <v>9</v>
      </c>
      <c r="H15" s="23">
        <f>COUNTIF(ValidTeams[],E15)</f>
        <v>1</v>
      </c>
    </row>
    <row r="16" spans="1:8" x14ac:dyDescent="0.25">
      <c r="A16">
        <v>15</v>
      </c>
      <c r="B16" s="23">
        <f t="shared" si="0"/>
        <v>6</v>
      </c>
      <c r="C16" t="s">
        <v>28</v>
      </c>
      <c r="D16" t="s">
        <v>20</v>
      </c>
      <c r="E16" s="2" t="s">
        <v>442</v>
      </c>
      <c r="F16" s="29" t="s">
        <v>1506</v>
      </c>
      <c r="G16" t="s">
        <v>9</v>
      </c>
      <c r="H16" s="23">
        <f>COUNTIF(ValidTeams[],E16)</f>
        <v>1</v>
      </c>
    </row>
    <row r="17" spans="1:8" x14ac:dyDescent="0.25">
      <c r="A17">
        <v>16</v>
      </c>
      <c r="B17" s="23">
        <f t="shared" si="0"/>
        <v>5</v>
      </c>
      <c r="C17" t="s">
        <v>32</v>
      </c>
      <c r="D17" t="s">
        <v>33</v>
      </c>
      <c r="E17" s="2" t="s">
        <v>34</v>
      </c>
      <c r="F17" s="29" t="s">
        <v>1507</v>
      </c>
      <c r="G17" t="s">
        <v>9</v>
      </c>
      <c r="H17" s="23">
        <f>COUNTIF(ValidTeams[],E17)</f>
        <v>1</v>
      </c>
    </row>
    <row r="18" spans="1:8" x14ac:dyDescent="0.25">
      <c r="A18">
        <v>17</v>
      </c>
      <c r="B18" s="23">
        <f t="shared" si="0"/>
        <v>0</v>
      </c>
      <c r="F18" s="29"/>
      <c r="G18" t="s">
        <v>9</v>
      </c>
      <c r="H18" s="23">
        <f>COUNTIF(ValidTeams[],E18)</f>
        <v>0</v>
      </c>
    </row>
    <row r="19" spans="1:8" x14ac:dyDescent="0.25">
      <c r="A19">
        <v>18</v>
      </c>
      <c r="B19" s="23">
        <f t="shared" si="0"/>
        <v>0</v>
      </c>
      <c r="F19" s="29"/>
      <c r="G19" t="s">
        <v>9</v>
      </c>
      <c r="H19" s="23">
        <f>COUNTIF(ValidTeams[],E19)</f>
        <v>0</v>
      </c>
    </row>
    <row r="20" spans="1:8" x14ac:dyDescent="0.25">
      <c r="A20">
        <v>19</v>
      </c>
      <c r="B20" s="23">
        <f t="shared" si="0"/>
        <v>0</v>
      </c>
      <c r="F20" s="29"/>
      <c r="G20" t="s">
        <v>9</v>
      </c>
      <c r="H20" s="23">
        <f>COUNTIF(ValidTeams[],E20)</f>
        <v>0</v>
      </c>
    </row>
    <row r="21" spans="1:8" x14ac:dyDescent="0.25">
      <c r="A21">
        <v>20</v>
      </c>
      <c r="B21" s="23">
        <f>IF(H21=1,MAX(21-A21,0),0)</f>
        <v>0</v>
      </c>
      <c r="F21" s="29"/>
      <c r="G21" t="s">
        <v>9</v>
      </c>
      <c r="H21" s="23">
        <f>COUNTIF(ValidTeams[],E21)</f>
        <v>0</v>
      </c>
    </row>
    <row r="22" spans="1:8" x14ac:dyDescent="0.25">
      <c r="A22">
        <v>21</v>
      </c>
      <c r="B22" s="23">
        <f>IF(H22=1,MAX(21-A22,0),0)</f>
        <v>0</v>
      </c>
      <c r="F22" s="29"/>
      <c r="G22" t="s">
        <v>9</v>
      </c>
      <c r="H22" s="23">
        <f>COUNTIF(ValidTeams[],E22)</f>
        <v>0</v>
      </c>
    </row>
    <row r="23" spans="1:8" x14ac:dyDescent="0.25">
      <c r="A23">
        <v>22</v>
      </c>
      <c r="B23" s="23">
        <f>IF(H23=1,MAX(21-A23,0),0)</f>
        <v>0</v>
      </c>
      <c r="F23" s="29"/>
      <c r="G23" t="s">
        <v>9</v>
      </c>
      <c r="H23" s="23">
        <f>COUNTIF(ValidTeams[],E23)</f>
        <v>0</v>
      </c>
    </row>
    <row r="24" spans="1:8" x14ac:dyDescent="0.25">
      <c r="B24" s="23"/>
      <c r="F24" s="29"/>
      <c r="H24" s="23"/>
    </row>
    <row r="25" spans="1:8" x14ac:dyDescent="0.25">
      <c r="A25" t="s">
        <v>0</v>
      </c>
      <c r="B25" t="s">
        <v>73</v>
      </c>
      <c r="C25" t="s">
        <v>1</v>
      </c>
      <c r="D25" t="s">
        <v>2</v>
      </c>
      <c r="E25" t="s">
        <v>3</v>
      </c>
      <c r="F25" s="29" t="s">
        <v>4</v>
      </c>
      <c r="G25" t="s">
        <v>5</v>
      </c>
      <c r="H25" t="s">
        <v>72</v>
      </c>
    </row>
    <row r="26" spans="1:8" x14ac:dyDescent="0.25">
      <c r="A26">
        <v>1</v>
      </c>
      <c r="B26">
        <f t="shared" ref="B26:B35" si="1">IF(H26=1,MAX(21-A26,0),0)</f>
        <v>20</v>
      </c>
      <c r="C26" t="s">
        <v>36</v>
      </c>
      <c r="D26" t="s">
        <v>37</v>
      </c>
      <c r="E26" t="s">
        <v>38</v>
      </c>
      <c r="F26" s="29" t="s">
        <v>1381</v>
      </c>
      <c r="G26" t="s">
        <v>39</v>
      </c>
      <c r="H26">
        <f>COUNTIF(ValidTeams[],E26)</f>
        <v>1</v>
      </c>
    </row>
    <row r="27" spans="1:8" x14ac:dyDescent="0.25">
      <c r="A27">
        <v>2</v>
      </c>
      <c r="B27">
        <f t="shared" si="1"/>
        <v>19</v>
      </c>
      <c r="C27" t="s">
        <v>42</v>
      </c>
      <c r="D27" t="s">
        <v>43</v>
      </c>
      <c r="E27" t="s">
        <v>44</v>
      </c>
      <c r="F27" s="29" t="s">
        <v>1628</v>
      </c>
      <c r="G27" t="s">
        <v>39</v>
      </c>
      <c r="H27">
        <f>COUNTIF(ValidTeams[],E27)</f>
        <v>1</v>
      </c>
    </row>
    <row r="28" spans="1:8" x14ac:dyDescent="0.25">
      <c r="A28">
        <v>3</v>
      </c>
      <c r="B28">
        <f t="shared" si="1"/>
        <v>0</v>
      </c>
      <c r="C28" t="s">
        <v>1629</v>
      </c>
      <c r="D28" t="s">
        <v>1630</v>
      </c>
      <c r="E28"/>
      <c r="F28" s="29" t="s">
        <v>1631</v>
      </c>
      <c r="G28" t="s">
        <v>39</v>
      </c>
      <c r="H28">
        <f>COUNTIF(ValidTeams[],E28)</f>
        <v>0</v>
      </c>
    </row>
    <row r="29" spans="1:8" x14ac:dyDescent="0.25">
      <c r="A29">
        <v>4</v>
      </c>
      <c r="B29">
        <f t="shared" si="1"/>
        <v>17</v>
      </c>
      <c r="C29" t="s">
        <v>32</v>
      </c>
      <c r="D29" t="s">
        <v>48</v>
      </c>
      <c r="E29" t="s">
        <v>49</v>
      </c>
      <c r="F29" s="29" t="s">
        <v>1632</v>
      </c>
      <c r="G29" t="s">
        <v>39</v>
      </c>
      <c r="H29">
        <f>COUNTIF(ValidTeams[],E29)</f>
        <v>1</v>
      </c>
    </row>
    <row r="30" spans="1:8" x14ac:dyDescent="0.25">
      <c r="A30">
        <v>5</v>
      </c>
      <c r="B30">
        <f t="shared" si="1"/>
        <v>0</v>
      </c>
      <c r="C30" t="s">
        <v>559</v>
      </c>
      <c r="D30" t="s">
        <v>560</v>
      </c>
      <c r="E30" t="s">
        <v>1330</v>
      </c>
      <c r="F30" s="29" t="s">
        <v>1633</v>
      </c>
      <c r="G30" t="s">
        <v>39</v>
      </c>
      <c r="H30">
        <f>COUNTIF(ValidTeams[],E30)</f>
        <v>0</v>
      </c>
    </row>
    <row r="31" spans="1:8" x14ac:dyDescent="0.25">
      <c r="A31">
        <v>6</v>
      </c>
      <c r="B31">
        <f t="shared" si="1"/>
        <v>0</v>
      </c>
      <c r="C31" t="s">
        <v>1634</v>
      </c>
      <c r="D31" t="s">
        <v>929</v>
      </c>
      <c r="E31" t="s">
        <v>1635</v>
      </c>
      <c r="F31" s="29" t="s">
        <v>1636</v>
      </c>
      <c r="G31" t="s">
        <v>39</v>
      </c>
      <c r="H31">
        <f>COUNTIF(ValidTeams[],E31)</f>
        <v>0</v>
      </c>
    </row>
    <row r="32" spans="1:8" x14ac:dyDescent="0.25">
      <c r="A32">
        <v>7</v>
      </c>
      <c r="B32">
        <f t="shared" si="1"/>
        <v>14</v>
      </c>
      <c r="C32" t="s">
        <v>66</v>
      </c>
      <c r="D32" t="s">
        <v>67</v>
      </c>
      <c r="E32" t="s">
        <v>442</v>
      </c>
      <c r="F32" s="28">
        <v>1.8988425925925926E-2</v>
      </c>
      <c r="G32" t="s">
        <v>39</v>
      </c>
      <c r="H32">
        <f>COUNTIF(ValidTeams[],E32)</f>
        <v>1</v>
      </c>
    </row>
    <row r="33" spans="1:8" x14ac:dyDescent="0.25">
      <c r="A33">
        <v>8</v>
      </c>
      <c r="B33">
        <f t="shared" si="1"/>
        <v>13</v>
      </c>
      <c r="C33" t="s">
        <v>1334</v>
      </c>
      <c r="D33" t="s">
        <v>1335</v>
      </c>
      <c r="E33" t="s">
        <v>238</v>
      </c>
      <c r="F33" s="28">
        <v>2.4269675925925924E-2</v>
      </c>
      <c r="G33" t="s">
        <v>39</v>
      </c>
      <c r="H33">
        <f>COUNTIF(ValidTeams[],E33)</f>
        <v>1</v>
      </c>
    </row>
    <row r="34" spans="1:8" x14ac:dyDescent="0.25">
      <c r="A34">
        <v>9</v>
      </c>
      <c r="B34">
        <f t="shared" si="1"/>
        <v>0</v>
      </c>
      <c r="E34"/>
      <c r="F34" s="28"/>
      <c r="G34" t="s">
        <v>39</v>
      </c>
      <c r="H34">
        <f>COUNTIF(ValidTeams[],E34)</f>
        <v>0</v>
      </c>
    </row>
    <row r="35" spans="1:8" x14ac:dyDescent="0.25">
      <c r="A35">
        <v>10</v>
      </c>
      <c r="B35">
        <f t="shared" si="1"/>
        <v>0</v>
      </c>
      <c r="E35"/>
      <c r="F35" s="28"/>
      <c r="G35" t="s">
        <v>39</v>
      </c>
      <c r="H35">
        <f>COUNTIF(ValidTeams[],E35)</f>
        <v>0</v>
      </c>
    </row>
    <row r="36" spans="1:8" x14ac:dyDescent="0.25">
      <c r="A36">
        <v>11</v>
      </c>
      <c r="B36" s="23">
        <f>IF(H36=1,MAX(21-A36,0),0)</f>
        <v>0</v>
      </c>
      <c r="F36" s="29"/>
      <c r="G36" t="s">
        <v>39</v>
      </c>
      <c r="H36" s="23">
        <f>COUNTIF(ValidTeams[],E36)</f>
        <v>0</v>
      </c>
    </row>
    <row r="37" spans="1:8" x14ac:dyDescent="0.25">
      <c r="A37">
        <v>12</v>
      </c>
      <c r="B37" s="23">
        <f>IF(H37=1,MAX(21-A37,0),0)</f>
        <v>0</v>
      </c>
      <c r="F37" s="29"/>
      <c r="G37" t="s">
        <v>39</v>
      </c>
      <c r="H37" s="23">
        <f>COUNTIF(ValidTeams[],E37)</f>
        <v>0</v>
      </c>
    </row>
    <row r="38" spans="1:8" x14ac:dyDescent="0.25">
      <c r="B38" s="23"/>
      <c r="F38" s="29"/>
      <c r="H38" s="23"/>
    </row>
    <row r="39" spans="1:8" x14ac:dyDescent="0.25">
      <c r="A39" t="s">
        <v>0</v>
      </c>
      <c r="B39" t="s">
        <v>73</v>
      </c>
      <c r="C39" t="s">
        <v>1</v>
      </c>
      <c r="D39" t="s">
        <v>2</v>
      </c>
      <c r="E39" s="2" t="s">
        <v>3</v>
      </c>
      <c r="F39" s="30" t="s">
        <v>4</v>
      </c>
      <c r="G39" t="s">
        <v>5</v>
      </c>
    </row>
    <row r="40" spans="1:8" x14ac:dyDescent="0.25">
      <c r="A40">
        <v>1</v>
      </c>
      <c r="B40">
        <v>20</v>
      </c>
      <c r="C40" t="s">
        <v>1612</v>
      </c>
      <c r="D40" t="s">
        <v>1613</v>
      </c>
      <c r="E40" s="2" t="s">
        <v>1546</v>
      </c>
      <c r="F40" s="29" t="s">
        <v>1614</v>
      </c>
      <c r="G40" t="s">
        <v>86</v>
      </c>
    </row>
    <row r="41" spans="1:8" x14ac:dyDescent="0.25">
      <c r="A41">
        <v>2</v>
      </c>
      <c r="B41">
        <v>19</v>
      </c>
      <c r="C41" t="s">
        <v>1615</v>
      </c>
      <c r="D41" t="s">
        <v>1616</v>
      </c>
      <c r="E41" s="2" t="s">
        <v>1617</v>
      </c>
      <c r="F41" s="29" t="s">
        <v>1512</v>
      </c>
      <c r="G41" t="s">
        <v>86</v>
      </c>
    </row>
    <row r="42" spans="1:8" x14ac:dyDescent="0.25">
      <c r="A42">
        <v>3</v>
      </c>
      <c r="B42">
        <v>18</v>
      </c>
      <c r="F42" s="29"/>
      <c r="G42" t="s">
        <v>86</v>
      </c>
    </row>
    <row r="43" spans="1:8" x14ac:dyDescent="0.25">
      <c r="A43">
        <v>4</v>
      </c>
      <c r="B43">
        <v>17</v>
      </c>
      <c r="F43" s="29"/>
      <c r="G43" t="s">
        <v>86</v>
      </c>
    </row>
    <row r="44" spans="1:8" x14ac:dyDescent="0.25">
      <c r="A44">
        <v>5</v>
      </c>
      <c r="B44">
        <v>16</v>
      </c>
      <c r="F44" s="29"/>
      <c r="G44" t="s">
        <v>86</v>
      </c>
    </row>
    <row r="45" spans="1:8" x14ac:dyDescent="0.25">
      <c r="A45">
        <v>6</v>
      </c>
      <c r="B45">
        <v>15</v>
      </c>
      <c r="F45" s="29"/>
      <c r="G45" t="s">
        <v>86</v>
      </c>
    </row>
    <row r="46" spans="1:8" x14ac:dyDescent="0.25">
      <c r="F46" s="29"/>
    </row>
    <row r="47" spans="1:8" x14ac:dyDescent="0.25">
      <c r="A47" s="4" t="s">
        <v>0</v>
      </c>
      <c r="B47" s="4" t="s">
        <v>73</v>
      </c>
      <c r="C47" s="4" t="s">
        <v>1</v>
      </c>
      <c r="D47" s="4" t="s">
        <v>2</v>
      </c>
      <c r="E47" s="5" t="s">
        <v>3</v>
      </c>
      <c r="F47" s="31" t="s">
        <v>4</v>
      </c>
      <c r="G47" s="4" t="s">
        <v>5</v>
      </c>
    </row>
    <row r="48" spans="1:8" x14ac:dyDescent="0.25">
      <c r="A48" s="1">
        <v>1</v>
      </c>
      <c r="B48" s="1">
        <v>20</v>
      </c>
      <c r="C48" s="1" t="s">
        <v>1544</v>
      </c>
      <c r="D48" s="1" t="s">
        <v>1545</v>
      </c>
      <c r="E48" s="3" t="s">
        <v>1546</v>
      </c>
      <c r="F48" s="32" t="s">
        <v>1547</v>
      </c>
      <c r="G48" s="1" t="s">
        <v>101</v>
      </c>
    </row>
    <row r="49" spans="1:7" x14ac:dyDescent="0.25">
      <c r="A49" s="1">
        <v>2</v>
      </c>
      <c r="B49" s="1">
        <v>19</v>
      </c>
      <c r="C49" s="1" t="s">
        <v>762</v>
      </c>
      <c r="D49" s="1" t="s">
        <v>763</v>
      </c>
      <c r="E49" s="3" t="s">
        <v>764</v>
      </c>
      <c r="F49" s="32" t="s">
        <v>1548</v>
      </c>
      <c r="G49" s="1" t="s">
        <v>101</v>
      </c>
    </row>
    <row r="50" spans="1:7" x14ac:dyDescent="0.25">
      <c r="A50" s="1">
        <v>3</v>
      </c>
      <c r="B50" s="1">
        <v>18</v>
      </c>
      <c r="C50" s="1" t="s">
        <v>98</v>
      </c>
      <c r="D50" s="1" t="s">
        <v>99</v>
      </c>
      <c r="E50" s="3" t="s">
        <v>100</v>
      </c>
      <c r="F50" s="32" t="s">
        <v>1549</v>
      </c>
      <c r="G50" s="1" t="s">
        <v>101</v>
      </c>
    </row>
    <row r="51" spans="1:7" x14ac:dyDescent="0.25">
      <c r="A51" s="1">
        <v>4</v>
      </c>
      <c r="B51" s="1">
        <v>17</v>
      </c>
      <c r="C51" s="1" t="s">
        <v>1550</v>
      </c>
      <c r="D51" s="1" t="s">
        <v>103</v>
      </c>
      <c r="E51" s="3" t="s">
        <v>100</v>
      </c>
      <c r="F51" s="32" t="s">
        <v>1551</v>
      </c>
      <c r="G51" s="1" t="s">
        <v>101</v>
      </c>
    </row>
    <row r="52" spans="1:7" x14ac:dyDescent="0.25">
      <c r="A52" s="1">
        <v>5</v>
      </c>
      <c r="B52" s="1">
        <v>16</v>
      </c>
      <c r="C52" s="1" t="s">
        <v>104</v>
      </c>
      <c r="D52" s="1" t="s">
        <v>105</v>
      </c>
      <c r="E52" s="3" t="s">
        <v>100</v>
      </c>
      <c r="F52" s="32" t="s">
        <v>1552</v>
      </c>
      <c r="G52" s="1" t="s">
        <v>101</v>
      </c>
    </row>
    <row r="53" spans="1:7" x14ac:dyDescent="0.25">
      <c r="A53" s="1">
        <v>6</v>
      </c>
      <c r="B53" s="1">
        <v>15</v>
      </c>
      <c r="C53" s="1" t="s">
        <v>1553</v>
      </c>
      <c r="D53" s="1" t="s">
        <v>1554</v>
      </c>
      <c r="E53" s="3"/>
      <c r="F53" s="32" t="s">
        <v>1555</v>
      </c>
      <c r="G53" s="1" t="s">
        <v>101</v>
      </c>
    </row>
    <row r="54" spans="1:7" x14ac:dyDescent="0.25">
      <c r="A54" s="6"/>
      <c r="B54" s="6"/>
      <c r="C54" s="6"/>
      <c r="D54" s="6"/>
      <c r="E54" s="21"/>
      <c r="F54" s="33"/>
      <c r="G54" s="6"/>
    </row>
    <row r="55" spans="1:7" x14ac:dyDescent="0.25">
      <c r="A55" s="4" t="s">
        <v>0</v>
      </c>
      <c r="B55" s="4" t="s">
        <v>73</v>
      </c>
      <c r="C55" s="4" t="s">
        <v>1</v>
      </c>
      <c r="D55" s="4" t="s">
        <v>2</v>
      </c>
      <c r="E55" s="5" t="s">
        <v>3</v>
      </c>
      <c r="F55" s="31" t="s">
        <v>4</v>
      </c>
      <c r="G55" s="4" t="s">
        <v>5</v>
      </c>
    </row>
    <row r="56" spans="1:7" x14ac:dyDescent="0.25">
      <c r="A56" s="1">
        <v>1</v>
      </c>
      <c r="B56" s="1">
        <v>20</v>
      </c>
      <c r="C56" s="1"/>
      <c r="D56" s="1"/>
      <c r="E56" s="3"/>
      <c r="F56" s="32"/>
      <c r="G56" s="1" t="s">
        <v>109</v>
      </c>
    </row>
    <row r="57" spans="1:7" x14ac:dyDescent="0.25">
      <c r="A57" s="1">
        <v>2</v>
      </c>
      <c r="B57" s="1">
        <v>19</v>
      </c>
      <c r="C57" s="1"/>
      <c r="D57" s="1"/>
      <c r="E57" s="3"/>
      <c r="F57" s="32"/>
      <c r="G57" s="1" t="s">
        <v>109</v>
      </c>
    </row>
    <row r="58" spans="1:7" x14ac:dyDescent="0.25">
      <c r="A58" s="1">
        <v>3</v>
      </c>
      <c r="B58" s="1">
        <v>18</v>
      </c>
      <c r="C58" s="1"/>
      <c r="D58" s="1"/>
      <c r="E58" s="3"/>
      <c r="F58" s="32"/>
      <c r="G58" s="1" t="s">
        <v>109</v>
      </c>
    </row>
    <row r="59" spans="1:7" x14ac:dyDescent="0.25">
      <c r="A59" s="6"/>
      <c r="B59" s="6"/>
      <c r="C59" s="6"/>
      <c r="D59" s="6"/>
      <c r="E59" s="21"/>
      <c r="F59" s="33"/>
      <c r="G59" s="6"/>
    </row>
    <row r="60" spans="1:7" x14ac:dyDescent="0.25">
      <c r="A60" s="4" t="s">
        <v>0</v>
      </c>
      <c r="B60" s="4" t="s">
        <v>73</v>
      </c>
      <c r="C60" s="4" t="s">
        <v>1</v>
      </c>
      <c r="D60" s="4" t="s">
        <v>2</v>
      </c>
      <c r="E60" s="5" t="s">
        <v>3</v>
      </c>
      <c r="F60" s="31" t="s">
        <v>4</v>
      </c>
      <c r="G60" s="4" t="s">
        <v>5</v>
      </c>
    </row>
    <row r="61" spans="1:7" x14ac:dyDescent="0.25">
      <c r="A61" s="1">
        <v>1</v>
      </c>
      <c r="B61" s="1">
        <v>20</v>
      </c>
      <c r="C61" s="1" t="s">
        <v>1556</v>
      </c>
      <c r="D61" s="1" t="s">
        <v>318</v>
      </c>
      <c r="E61" s="3" t="s">
        <v>1557</v>
      </c>
      <c r="F61" s="32" t="s">
        <v>976</v>
      </c>
      <c r="G61" s="1" t="s">
        <v>112</v>
      </c>
    </row>
    <row r="62" spans="1:7" x14ac:dyDescent="0.25">
      <c r="A62" s="1">
        <v>2</v>
      </c>
      <c r="B62" s="1">
        <v>19</v>
      </c>
      <c r="C62" s="1" t="s">
        <v>779</v>
      </c>
      <c r="D62" s="1" t="s">
        <v>780</v>
      </c>
      <c r="E62" s="3" t="s">
        <v>781</v>
      </c>
      <c r="F62" s="32" t="s">
        <v>1558</v>
      </c>
      <c r="G62" s="1" t="s">
        <v>112</v>
      </c>
    </row>
    <row r="63" spans="1:7" x14ac:dyDescent="0.25">
      <c r="A63" s="1">
        <v>3</v>
      </c>
      <c r="B63" s="1">
        <v>18</v>
      </c>
      <c r="C63" s="1" t="s">
        <v>115</v>
      </c>
      <c r="D63" s="1" t="s">
        <v>116</v>
      </c>
      <c r="E63" s="3" t="s">
        <v>100</v>
      </c>
      <c r="F63" s="32" t="s">
        <v>1559</v>
      </c>
      <c r="G63" s="1" t="s">
        <v>112</v>
      </c>
    </row>
    <row r="64" spans="1:7" x14ac:dyDescent="0.25">
      <c r="A64" s="1">
        <v>4</v>
      </c>
      <c r="B64" s="1">
        <v>17</v>
      </c>
      <c r="C64" s="1" t="s">
        <v>104</v>
      </c>
      <c r="D64" s="1" t="s">
        <v>111</v>
      </c>
      <c r="E64" s="3" t="s">
        <v>100</v>
      </c>
      <c r="F64" s="32" t="s">
        <v>1560</v>
      </c>
      <c r="G64" s="1" t="s">
        <v>112</v>
      </c>
    </row>
    <row r="65" spans="1:8" x14ac:dyDescent="0.25">
      <c r="A65" s="1">
        <v>5</v>
      </c>
      <c r="B65" s="1">
        <v>16</v>
      </c>
      <c r="C65" s="1" t="s">
        <v>113</v>
      </c>
      <c r="D65" s="1" t="s">
        <v>114</v>
      </c>
      <c r="E65" s="3"/>
      <c r="F65" s="32" t="s">
        <v>1561</v>
      </c>
      <c r="G65" s="1" t="s">
        <v>112</v>
      </c>
    </row>
    <row r="66" spans="1:8" x14ac:dyDescent="0.25">
      <c r="A66" s="6"/>
      <c r="B66" s="6"/>
      <c r="C66" s="6"/>
      <c r="D66" s="6"/>
      <c r="E66" s="21"/>
      <c r="F66" s="33"/>
      <c r="G66" s="6"/>
    </row>
    <row r="67" spans="1:8" x14ac:dyDescent="0.25">
      <c r="A67" s="4" t="s">
        <v>0</v>
      </c>
      <c r="B67" s="4" t="s">
        <v>73</v>
      </c>
      <c r="C67" s="4" t="s">
        <v>1</v>
      </c>
      <c r="D67" s="4" t="s">
        <v>2</v>
      </c>
      <c r="E67" s="5" t="s">
        <v>3</v>
      </c>
      <c r="F67" s="31" t="s">
        <v>4</v>
      </c>
      <c r="G67" s="4" t="s">
        <v>5</v>
      </c>
    </row>
    <row r="68" spans="1:8" x14ac:dyDescent="0.25">
      <c r="A68" s="1">
        <v>1</v>
      </c>
      <c r="B68" s="1">
        <v>20</v>
      </c>
      <c r="C68" s="1"/>
      <c r="D68" s="1"/>
      <c r="E68" s="3"/>
      <c r="F68" s="32"/>
      <c r="G68" s="1" t="s">
        <v>119</v>
      </c>
    </row>
    <row r="69" spans="1:8" x14ac:dyDescent="0.25">
      <c r="A69" s="1">
        <v>2</v>
      </c>
      <c r="B69" s="1">
        <v>19</v>
      </c>
      <c r="C69" s="1"/>
      <c r="D69" s="1"/>
      <c r="E69" s="3"/>
      <c r="F69" s="32"/>
      <c r="G69" s="1" t="s">
        <v>119</v>
      </c>
    </row>
    <row r="70" spans="1:8" x14ac:dyDescent="0.25">
      <c r="A70" s="6"/>
      <c r="B70" s="6"/>
      <c r="C70" s="6"/>
      <c r="D70" s="6"/>
      <c r="E70" s="21"/>
      <c r="F70" s="33"/>
      <c r="G70" s="6"/>
    </row>
    <row r="71" spans="1:8" x14ac:dyDescent="0.25">
      <c r="A71" s="4" t="s">
        <v>0</v>
      </c>
      <c r="B71" s="4" t="s">
        <v>73</v>
      </c>
      <c r="C71" s="4" t="s">
        <v>1</v>
      </c>
      <c r="D71" s="4" t="s">
        <v>2</v>
      </c>
      <c r="E71" s="5" t="s">
        <v>3</v>
      </c>
      <c r="F71" s="31" t="s">
        <v>4</v>
      </c>
      <c r="G71" s="4" t="s">
        <v>5</v>
      </c>
    </row>
    <row r="72" spans="1:8" x14ac:dyDescent="0.25">
      <c r="A72" s="1">
        <v>1</v>
      </c>
      <c r="B72" s="1">
        <v>20</v>
      </c>
      <c r="C72" s="1"/>
      <c r="D72" s="1"/>
      <c r="E72" s="3"/>
      <c r="F72" s="32"/>
      <c r="G72" s="1" t="s">
        <v>121</v>
      </c>
    </row>
    <row r="73" spans="1:8" x14ac:dyDescent="0.25">
      <c r="F73" s="29"/>
    </row>
    <row r="74" spans="1:8" x14ac:dyDescent="0.25">
      <c r="A74" s="4" t="s">
        <v>0</v>
      </c>
      <c r="B74" s="4" t="s">
        <v>73</v>
      </c>
      <c r="C74" s="4" t="s">
        <v>1</v>
      </c>
      <c r="D74" s="4" t="s">
        <v>2</v>
      </c>
      <c r="E74" s="5" t="s">
        <v>3</v>
      </c>
      <c r="F74" s="31" t="s">
        <v>4</v>
      </c>
      <c r="G74" s="4" t="s">
        <v>5</v>
      </c>
      <c r="H74" s="4" t="s">
        <v>72</v>
      </c>
    </row>
    <row r="75" spans="1:8" x14ac:dyDescent="0.25">
      <c r="A75" s="1">
        <v>1</v>
      </c>
      <c r="B75">
        <f t="shared" ref="B75:B79" si="2">IF(H75=1,MAX(21-A75,0),0)</f>
        <v>20</v>
      </c>
      <c r="C75" s="1" t="s">
        <v>1234</v>
      </c>
      <c r="D75" s="1" t="s">
        <v>1235</v>
      </c>
      <c r="E75" s="3" t="s">
        <v>1236</v>
      </c>
      <c r="F75" s="32" t="s">
        <v>1562</v>
      </c>
      <c r="G75" s="1" t="s">
        <v>124</v>
      </c>
      <c r="H75" s="6">
        <f>COUNTIF(ValidTeams[],E75)</f>
        <v>1</v>
      </c>
    </row>
    <row r="76" spans="1:8" x14ac:dyDescent="0.25">
      <c r="A76" s="1">
        <v>2</v>
      </c>
      <c r="B76">
        <f t="shared" si="2"/>
        <v>19</v>
      </c>
      <c r="C76" s="1" t="s">
        <v>1563</v>
      </c>
      <c r="D76" s="1" t="s">
        <v>174</v>
      </c>
      <c r="E76" s="3" t="s">
        <v>238</v>
      </c>
      <c r="F76" s="32" t="s">
        <v>1564</v>
      </c>
      <c r="G76" s="1" t="s">
        <v>124</v>
      </c>
      <c r="H76" s="6">
        <f>COUNTIF(ValidTeams[],E76)</f>
        <v>1</v>
      </c>
    </row>
    <row r="77" spans="1:8" x14ac:dyDescent="0.25">
      <c r="A77">
        <v>3</v>
      </c>
      <c r="B77">
        <f t="shared" si="2"/>
        <v>18</v>
      </c>
      <c r="C77" t="s">
        <v>125</v>
      </c>
      <c r="D77" t="s">
        <v>126</v>
      </c>
      <c r="E77" t="s">
        <v>18</v>
      </c>
      <c r="F77" s="28">
        <v>1.5474537037037038E-2</v>
      </c>
      <c r="G77" t="s">
        <v>124</v>
      </c>
      <c r="H77">
        <f>COUNTIF(ValidTeams[],E77)</f>
        <v>1</v>
      </c>
    </row>
    <row r="78" spans="1:8" x14ac:dyDescent="0.25">
      <c r="A78">
        <v>4</v>
      </c>
      <c r="B78">
        <f t="shared" si="2"/>
        <v>17</v>
      </c>
      <c r="C78" t="s">
        <v>122</v>
      </c>
      <c r="D78" t="s">
        <v>123</v>
      </c>
      <c r="E78" t="s">
        <v>12</v>
      </c>
      <c r="F78" s="28">
        <v>1.565625E-2</v>
      </c>
      <c r="G78" t="s">
        <v>124</v>
      </c>
      <c r="H78">
        <f>COUNTIF(ValidTeams[],E78)</f>
        <v>1</v>
      </c>
    </row>
    <row r="79" spans="1:8" x14ac:dyDescent="0.25">
      <c r="A79">
        <v>5</v>
      </c>
      <c r="B79">
        <f t="shared" si="2"/>
        <v>0</v>
      </c>
      <c r="C79" t="s">
        <v>127</v>
      </c>
      <c r="D79" t="s">
        <v>128</v>
      </c>
      <c r="E79" t="s">
        <v>129</v>
      </c>
      <c r="F79" s="28">
        <v>1.6284722222222221E-2</v>
      </c>
      <c r="G79" t="s">
        <v>124</v>
      </c>
      <c r="H79">
        <f>COUNTIF(ValidTeams[],E79)</f>
        <v>0</v>
      </c>
    </row>
    <row r="80" spans="1:8" x14ac:dyDescent="0.25">
      <c r="A80" s="1">
        <v>6</v>
      </c>
      <c r="B80" s="24">
        <f>IF(H80=1,MAX(21-A80,0),0)</f>
        <v>15</v>
      </c>
      <c r="C80" s="1" t="s">
        <v>594</v>
      </c>
      <c r="D80" s="1" t="s">
        <v>595</v>
      </c>
      <c r="E80" s="3" t="s">
        <v>18</v>
      </c>
      <c r="F80" s="32" t="s">
        <v>1565</v>
      </c>
      <c r="G80" s="1" t="s">
        <v>124</v>
      </c>
      <c r="H80" s="24">
        <f>COUNTIF(ValidTeams[],E80)</f>
        <v>1</v>
      </c>
    </row>
    <row r="81" spans="1:8" x14ac:dyDescent="0.25">
      <c r="A81" s="1">
        <v>7</v>
      </c>
      <c r="B81" s="24">
        <f>IF(H81=1,MAX(21-A81,0),0)</f>
        <v>0</v>
      </c>
      <c r="C81" s="1" t="s">
        <v>1566</v>
      </c>
      <c r="D81" s="1" t="s">
        <v>1567</v>
      </c>
      <c r="E81" s="3"/>
      <c r="F81" s="32" t="s">
        <v>1568</v>
      </c>
      <c r="G81" s="1" t="s">
        <v>124</v>
      </c>
      <c r="H81" s="24">
        <f>COUNTIF(ValidTeams[],E81)</f>
        <v>0</v>
      </c>
    </row>
    <row r="82" spans="1:8" x14ac:dyDescent="0.25">
      <c r="A82" s="1">
        <v>8</v>
      </c>
      <c r="B82" s="24">
        <f>IF(H82=1,MAX(21-A82,0),0)</f>
        <v>0</v>
      </c>
      <c r="C82" s="1"/>
      <c r="D82" s="1"/>
      <c r="E82" s="3"/>
      <c r="F82" s="32"/>
      <c r="G82" s="1" t="s">
        <v>124</v>
      </c>
      <c r="H82" s="24">
        <f>COUNTIF(ValidTeams[],E82)</f>
        <v>0</v>
      </c>
    </row>
    <row r="83" spans="1:8" x14ac:dyDescent="0.25">
      <c r="A83" s="6"/>
      <c r="B83" s="34"/>
      <c r="C83" s="6"/>
      <c r="D83" s="6"/>
      <c r="E83" s="21"/>
      <c r="F83" s="33"/>
      <c r="G83" s="6"/>
      <c r="H83" s="34"/>
    </row>
    <row r="84" spans="1:8" x14ac:dyDescent="0.25">
      <c r="A84" s="4" t="s">
        <v>0</v>
      </c>
      <c r="B84" s="4" t="s">
        <v>73</v>
      </c>
      <c r="C84" s="4" t="s">
        <v>1</v>
      </c>
      <c r="D84" s="4" t="s">
        <v>2</v>
      </c>
      <c r="E84" s="5" t="s">
        <v>3</v>
      </c>
      <c r="F84" s="31" t="s">
        <v>4</v>
      </c>
      <c r="G84" s="4" t="s">
        <v>5</v>
      </c>
      <c r="H84" s="4" t="s">
        <v>72</v>
      </c>
    </row>
    <row r="85" spans="1:8" x14ac:dyDescent="0.25">
      <c r="A85" s="1">
        <v>1</v>
      </c>
      <c r="B85">
        <f t="shared" ref="B85:B90" si="3">IF(H85=1,MAX(21-A85,0),0)</f>
        <v>20</v>
      </c>
      <c r="C85" s="1" t="s">
        <v>136</v>
      </c>
      <c r="D85" s="1" t="s">
        <v>137</v>
      </c>
      <c r="E85" s="3" t="s">
        <v>138</v>
      </c>
      <c r="F85" s="32" t="s">
        <v>976</v>
      </c>
      <c r="G85" s="1" t="s">
        <v>135</v>
      </c>
      <c r="H85" s="6">
        <f>COUNTIF(ValidTeams[],E85)</f>
        <v>1</v>
      </c>
    </row>
    <row r="86" spans="1:8" x14ac:dyDescent="0.25">
      <c r="A86" s="1">
        <v>2</v>
      </c>
      <c r="B86">
        <f t="shared" si="3"/>
        <v>19</v>
      </c>
      <c r="C86" s="1" t="s">
        <v>134</v>
      </c>
      <c r="D86" s="1" t="s">
        <v>7</v>
      </c>
      <c r="E86" s="3" t="s">
        <v>34</v>
      </c>
      <c r="F86" s="32" t="s">
        <v>734</v>
      </c>
      <c r="G86" s="1" t="s">
        <v>135</v>
      </c>
      <c r="H86" s="6">
        <f>COUNTIF(ValidTeams[],E86)</f>
        <v>1</v>
      </c>
    </row>
    <row r="87" spans="1:8" x14ac:dyDescent="0.25">
      <c r="A87" s="1">
        <v>3</v>
      </c>
      <c r="B87">
        <f t="shared" si="3"/>
        <v>18</v>
      </c>
      <c r="C87" s="1" t="s">
        <v>1268</v>
      </c>
      <c r="D87" s="1" t="s">
        <v>1269</v>
      </c>
      <c r="E87" s="3" t="s">
        <v>448</v>
      </c>
      <c r="F87" s="32" t="s">
        <v>1569</v>
      </c>
      <c r="G87" s="1" t="s">
        <v>135</v>
      </c>
      <c r="H87" s="6">
        <f>COUNTIF(ValidTeams[],E87)</f>
        <v>1</v>
      </c>
    </row>
    <row r="88" spans="1:8" x14ac:dyDescent="0.25">
      <c r="A88" s="1">
        <v>4</v>
      </c>
      <c r="B88">
        <f t="shared" si="3"/>
        <v>17</v>
      </c>
      <c r="C88" s="1" t="s">
        <v>807</v>
      </c>
      <c r="D88" s="1" t="s">
        <v>595</v>
      </c>
      <c r="E88" s="3" t="s">
        <v>808</v>
      </c>
      <c r="F88" s="32" t="s">
        <v>1570</v>
      </c>
      <c r="G88" s="1" t="s">
        <v>135</v>
      </c>
      <c r="H88" s="6">
        <f>COUNTIF(ValidTeams[],E88)</f>
        <v>1</v>
      </c>
    </row>
    <row r="89" spans="1:8" x14ac:dyDescent="0.25">
      <c r="A89">
        <v>5</v>
      </c>
      <c r="B89">
        <f t="shared" si="3"/>
        <v>0</v>
      </c>
      <c r="C89" t="s">
        <v>1571</v>
      </c>
      <c r="D89" t="s">
        <v>1567</v>
      </c>
      <c r="E89" t="s">
        <v>1572</v>
      </c>
      <c r="F89" s="28">
        <v>1.5688657407407405E-2</v>
      </c>
      <c r="G89" t="s">
        <v>135</v>
      </c>
      <c r="H89">
        <f>COUNTIF(ValidTeams[],E89)</f>
        <v>0</v>
      </c>
    </row>
    <row r="90" spans="1:8" x14ac:dyDescent="0.25">
      <c r="A90">
        <v>6</v>
      </c>
      <c r="B90">
        <f t="shared" si="3"/>
        <v>0</v>
      </c>
      <c r="C90" t="s">
        <v>1573</v>
      </c>
      <c r="D90" t="s">
        <v>1574</v>
      </c>
      <c r="E90" t="s">
        <v>1575</v>
      </c>
      <c r="F90" s="28">
        <v>1.6876157407407406E-2</v>
      </c>
      <c r="G90" t="s">
        <v>135</v>
      </c>
      <c r="H90">
        <f>COUNTIF(ValidTeams[],E90)</f>
        <v>0</v>
      </c>
    </row>
    <row r="91" spans="1:8" x14ac:dyDescent="0.25">
      <c r="A91" s="1">
        <v>7</v>
      </c>
      <c r="B91" s="24">
        <f>IF(H91=1,MAX(21-A91,0),0)</f>
        <v>14</v>
      </c>
      <c r="C91" s="1" t="s">
        <v>811</v>
      </c>
      <c r="D91" s="1" t="s">
        <v>128</v>
      </c>
      <c r="E91" s="3" t="s">
        <v>251</v>
      </c>
      <c r="F91" s="32" t="s">
        <v>1576</v>
      </c>
      <c r="G91" s="1" t="s">
        <v>135</v>
      </c>
      <c r="H91" s="24">
        <f>COUNTIF(ValidTeams[],E91)</f>
        <v>1</v>
      </c>
    </row>
    <row r="92" spans="1:8" x14ac:dyDescent="0.25">
      <c r="A92" s="1">
        <v>8</v>
      </c>
      <c r="B92" s="24">
        <f>IF(H92=1,MAX(21-A92,0),0)</f>
        <v>13</v>
      </c>
      <c r="C92" s="1" t="s">
        <v>169</v>
      </c>
      <c r="D92" s="1" t="s">
        <v>170</v>
      </c>
      <c r="E92" s="3" t="s">
        <v>171</v>
      </c>
      <c r="F92" s="32" t="s">
        <v>1577</v>
      </c>
      <c r="G92" s="1" t="s">
        <v>135</v>
      </c>
      <c r="H92" s="24">
        <f>COUNTIF(ValidTeams[],E92)</f>
        <v>1</v>
      </c>
    </row>
    <row r="93" spans="1:8" x14ac:dyDescent="0.25">
      <c r="A93" s="1">
        <v>9</v>
      </c>
      <c r="B93" s="24">
        <f>IF(H93=1,MAX(21-A93,0),0)</f>
        <v>0</v>
      </c>
      <c r="C93" s="1"/>
      <c r="D93" s="1"/>
      <c r="E93" s="3"/>
      <c r="F93" s="32"/>
      <c r="G93" s="1" t="s">
        <v>135</v>
      </c>
      <c r="H93" s="24">
        <f>COUNTIF(ValidTeams[],E93)</f>
        <v>0</v>
      </c>
    </row>
    <row r="94" spans="1:8" x14ac:dyDescent="0.25">
      <c r="A94" s="1">
        <v>10</v>
      </c>
      <c r="B94" s="24">
        <f>IF(H94=1,MAX(21-A94,0),0)</f>
        <v>0</v>
      </c>
      <c r="C94" s="1"/>
      <c r="D94" s="1"/>
      <c r="E94" s="3"/>
      <c r="F94" s="32"/>
      <c r="G94" s="1" t="s">
        <v>135</v>
      </c>
      <c r="H94" s="24">
        <f>COUNTIF(ValidTeams[],E94)</f>
        <v>0</v>
      </c>
    </row>
    <row r="95" spans="1:8" x14ac:dyDescent="0.25">
      <c r="A95" s="6"/>
      <c r="B95" s="34"/>
      <c r="C95" s="6"/>
      <c r="D95" s="6"/>
      <c r="E95" s="21"/>
      <c r="F95" s="33"/>
      <c r="G95" s="6"/>
      <c r="H95" s="34"/>
    </row>
    <row r="96" spans="1:8" x14ac:dyDescent="0.25">
      <c r="A96" s="4" t="s">
        <v>0</v>
      </c>
      <c r="B96" s="4" t="s">
        <v>73</v>
      </c>
      <c r="C96" s="4" t="s">
        <v>1</v>
      </c>
      <c r="D96" s="4" t="s">
        <v>2</v>
      </c>
      <c r="E96" s="5" t="s">
        <v>3</v>
      </c>
      <c r="F96" s="31" t="s">
        <v>4</v>
      </c>
      <c r="G96" s="4" t="s">
        <v>5</v>
      </c>
      <c r="H96" s="4" t="s">
        <v>72</v>
      </c>
    </row>
    <row r="97" spans="1:8" x14ac:dyDescent="0.25">
      <c r="A97" s="1">
        <v>1</v>
      </c>
      <c r="B97">
        <f t="shared" ref="B97:B109" si="4">IF(H97=1,MAX(21-A97,0),0)</f>
        <v>20</v>
      </c>
      <c r="C97" s="1" t="s">
        <v>66</v>
      </c>
      <c r="D97" s="1" t="s">
        <v>176</v>
      </c>
      <c r="E97" s="3" t="s">
        <v>442</v>
      </c>
      <c r="F97" s="32" t="s">
        <v>1578</v>
      </c>
      <c r="G97" s="1" t="s">
        <v>178</v>
      </c>
      <c r="H97" s="6">
        <f>COUNTIF(ValidTeams[],E97)</f>
        <v>1</v>
      </c>
    </row>
    <row r="98" spans="1:8" x14ac:dyDescent="0.25">
      <c r="A98" s="1">
        <v>2</v>
      </c>
      <c r="B98">
        <f t="shared" si="4"/>
        <v>19</v>
      </c>
      <c r="C98" s="1" t="s">
        <v>186</v>
      </c>
      <c r="D98" s="1" t="s">
        <v>187</v>
      </c>
      <c r="E98" s="3" t="s">
        <v>8</v>
      </c>
      <c r="F98" s="32" t="s">
        <v>1580</v>
      </c>
      <c r="G98" s="1" t="s">
        <v>178</v>
      </c>
      <c r="H98" s="6">
        <f>COUNTIF(ValidTeams[],E98)</f>
        <v>1</v>
      </c>
    </row>
    <row r="99" spans="1:8" x14ac:dyDescent="0.25">
      <c r="A99" s="1">
        <v>3</v>
      </c>
      <c r="B99">
        <f t="shared" si="4"/>
        <v>18</v>
      </c>
      <c r="C99" s="1" t="s">
        <v>179</v>
      </c>
      <c r="D99" s="1" t="s">
        <v>24</v>
      </c>
      <c r="E99" s="3" t="s">
        <v>100</v>
      </c>
      <c r="F99" s="32" t="s">
        <v>1581</v>
      </c>
      <c r="G99" s="1" t="s">
        <v>178</v>
      </c>
      <c r="H99" s="6">
        <f>COUNTIF(ValidTeams[],E99)</f>
        <v>1</v>
      </c>
    </row>
    <row r="100" spans="1:8" x14ac:dyDescent="0.25">
      <c r="A100" s="1">
        <v>4</v>
      </c>
      <c r="B100">
        <f t="shared" si="4"/>
        <v>17</v>
      </c>
      <c r="C100" s="1" t="s">
        <v>816</v>
      </c>
      <c r="D100" s="1" t="s">
        <v>817</v>
      </c>
      <c r="E100" s="3" t="s">
        <v>18</v>
      </c>
      <c r="F100" s="32" t="s">
        <v>1582</v>
      </c>
      <c r="G100" s="1" t="s">
        <v>178</v>
      </c>
      <c r="H100" s="6">
        <f>COUNTIF(ValidTeams[],E100)</f>
        <v>1</v>
      </c>
    </row>
    <row r="101" spans="1:8" x14ac:dyDescent="0.25">
      <c r="A101" s="1">
        <v>5</v>
      </c>
      <c r="B101">
        <f t="shared" si="4"/>
        <v>16</v>
      </c>
      <c r="C101" s="1" t="s">
        <v>181</v>
      </c>
      <c r="D101" s="1" t="s">
        <v>132</v>
      </c>
      <c r="E101" s="3" t="s">
        <v>34</v>
      </c>
      <c r="F101" s="32" t="s">
        <v>1583</v>
      </c>
      <c r="G101" s="1" t="s">
        <v>178</v>
      </c>
      <c r="H101" s="6">
        <f>COUNTIF(ValidTeams[],E101)</f>
        <v>1</v>
      </c>
    </row>
    <row r="102" spans="1:8" x14ac:dyDescent="0.25">
      <c r="A102" s="1">
        <v>6</v>
      </c>
      <c r="B102">
        <f t="shared" si="4"/>
        <v>15</v>
      </c>
      <c r="C102" s="1" t="s">
        <v>183</v>
      </c>
      <c r="D102" s="1" t="s">
        <v>184</v>
      </c>
      <c r="E102" s="3" t="s">
        <v>100</v>
      </c>
      <c r="F102" s="32" t="s">
        <v>1584</v>
      </c>
      <c r="G102" s="1" t="s">
        <v>178</v>
      </c>
      <c r="H102" s="6">
        <f>COUNTIF(ValidTeams[],E102)</f>
        <v>1</v>
      </c>
    </row>
    <row r="103" spans="1:8" x14ac:dyDescent="0.25">
      <c r="A103" s="1">
        <v>7</v>
      </c>
      <c r="B103">
        <f t="shared" si="4"/>
        <v>14</v>
      </c>
      <c r="C103" s="1" t="s">
        <v>193</v>
      </c>
      <c r="D103" s="1" t="s">
        <v>194</v>
      </c>
      <c r="E103" s="3" t="s">
        <v>442</v>
      </c>
      <c r="F103" s="32" t="s">
        <v>1585</v>
      </c>
      <c r="G103" s="1" t="s">
        <v>178</v>
      </c>
      <c r="H103" s="6">
        <f>COUNTIF(ValidTeams[],E103)</f>
        <v>1</v>
      </c>
    </row>
    <row r="104" spans="1:8" x14ac:dyDescent="0.25">
      <c r="A104" s="1">
        <v>8</v>
      </c>
      <c r="B104">
        <f t="shared" si="4"/>
        <v>13</v>
      </c>
      <c r="C104" s="1" t="s">
        <v>196</v>
      </c>
      <c r="D104" s="1" t="s">
        <v>128</v>
      </c>
      <c r="E104" s="3" t="s">
        <v>38</v>
      </c>
      <c r="F104" s="32" t="s">
        <v>1586</v>
      </c>
      <c r="G104" s="1" t="s">
        <v>178</v>
      </c>
      <c r="H104" s="6">
        <f>COUNTIF(ValidTeams[],E104)</f>
        <v>1</v>
      </c>
    </row>
    <row r="105" spans="1:8" x14ac:dyDescent="0.25">
      <c r="A105" s="1">
        <v>9</v>
      </c>
      <c r="B105">
        <f t="shared" si="4"/>
        <v>12</v>
      </c>
      <c r="C105" s="1" t="s">
        <v>550</v>
      </c>
      <c r="D105" s="1" t="s">
        <v>601</v>
      </c>
      <c r="E105" s="3" t="s">
        <v>691</v>
      </c>
      <c r="F105" s="32" t="s">
        <v>1587</v>
      </c>
      <c r="G105" s="1" t="s">
        <v>178</v>
      </c>
      <c r="H105" s="6">
        <f>COUNTIF(ValidTeams[],E105)</f>
        <v>1</v>
      </c>
    </row>
    <row r="106" spans="1:8" x14ac:dyDescent="0.25">
      <c r="A106" s="1">
        <v>10</v>
      </c>
      <c r="B106">
        <f t="shared" si="4"/>
        <v>0</v>
      </c>
      <c r="C106" s="1" t="s">
        <v>205</v>
      </c>
      <c r="D106" s="1" t="s">
        <v>206</v>
      </c>
      <c r="E106" s="3" t="s">
        <v>207</v>
      </c>
      <c r="F106" s="32" t="s">
        <v>1588</v>
      </c>
      <c r="G106" s="1" t="s">
        <v>178</v>
      </c>
      <c r="H106" s="6">
        <f>COUNTIF(ValidTeams[],E106)</f>
        <v>0</v>
      </c>
    </row>
    <row r="107" spans="1:8" x14ac:dyDescent="0.25">
      <c r="A107" s="1">
        <v>11</v>
      </c>
      <c r="B107">
        <f t="shared" si="4"/>
        <v>10</v>
      </c>
      <c r="C107" s="1" t="s">
        <v>1589</v>
      </c>
      <c r="D107" s="1" t="s">
        <v>225</v>
      </c>
      <c r="E107" s="3" t="s">
        <v>418</v>
      </c>
      <c r="F107" s="32" t="s">
        <v>1590</v>
      </c>
      <c r="G107" s="1" t="s">
        <v>178</v>
      </c>
      <c r="H107" s="6">
        <f>COUNTIF(ValidTeams[],E107)</f>
        <v>1</v>
      </c>
    </row>
    <row r="108" spans="1:8" x14ac:dyDescent="0.25">
      <c r="A108" s="1">
        <v>12</v>
      </c>
      <c r="B108">
        <f t="shared" si="4"/>
        <v>0</v>
      </c>
      <c r="C108" s="1"/>
      <c r="D108" s="1"/>
      <c r="E108" s="3"/>
      <c r="F108" s="32"/>
      <c r="G108" s="1" t="s">
        <v>178</v>
      </c>
      <c r="H108" s="6">
        <f>COUNTIF(ValidTeams[],E108)</f>
        <v>0</v>
      </c>
    </row>
    <row r="109" spans="1:8" x14ac:dyDescent="0.25">
      <c r="A109" s="1">
        <v>13</v>
      </c>
      <c r="B109">
        <f t="shared" si="4"/>
        <v>0</v>
      </c>
      <c r="C109" s="1"/>
      <c r="D109" s="1"/>
      <c r="E109" s="3"/>
      <c r="F109" s="32"/>
      <c r="G109" s="1" t="s">
        <v>178</v>
      </c>
      <c r="H109" s="6">
        <f>COUNTIF(ValidTeams[],E109)</f>
        <v>0</v>
      </c>
    </row>
    <row r="110" spans="1:8" x14ac:dyDescent="0.25">
      <c r="F110" s="29"/>
    </row>
    <row r="111" spans="1:8" x14ac:dyDescent="0.25">
      <c r="A111" s="4" t="s">
        <v>0</v>
      </c>
      <c r="B111" s="4" t="s">
        <v>73</v>
      </c>
      <c r="C111" s="4" t="s">
        <v>1</v>
      </c>
      <c r="D111" s="4" t="s">
        <v>2</v>
      </c>
      <c r="E111" s="5" t="s">
        <v>3</v>
      </c>
      <c r="F111" s="31" t="s">
        <v>4</v>
      </c>
      <c r="G111" s="4" t="s">
        <v>5</v>
      </c>
      <c r="H111" s="4" t="s">
        <v>72</v>
      </c>
    </row>
    <row r="112" spans="1:8" x14ac:dyDescent="0.25">
      <c r="A112" s="1">
        <v>1</v>
      </c>
      <c r="B112">
        <f t="shared" ref="B112:B120" si="5">IF(H112=1,MAX(21-A112,0),0)</f>
        <v>20</v>
      </c>
      <c r="C112" s="1" t="s">
        <v>828</v>
      </c>
      <c r="D112" s="1" t="s">
        <v>829</v>
      </c>
      <c r="E112" s="3" t="s">
        <v>18</v>
      </c>
      <c r="F112" s="32" t="s">
        <v>1591</v>
      </c>
      <c r="G112" s="1" t="s">
        <v>217</v>
      </c>
      <c r="H112" s="6">
        <f>COUNTIF(ValidTeams[],E112)</f>
        <v>1</v>
      </c>
    </row>
    <row r="113" spans="1:8" x14ac:dyDescent="0.25">
      <c r="A113" s="1">
        <v>2</v>
      </c>
      <c r="B113">
        <f t="shared" si="5"/>
        <v>19</v>
      </c>
      <c r="C113" s="1" t="s">
        <v>214</v>
      </c>
      <c r="D113" s="1" t="s">
        <v>215</v>
      </c>
      <c r="E113" s="3" t="s">
        <v>18</v>
      </c>
      <c r="F113" s="32" t="s">
        <v>1592</v>
      </c>
      <c r="G113" s="1" t="s">
        <v>217</v>
      </c>
      <c r="H113" s="6">
        <f>COUNTIF(ValidTeams[],E113)</f>
        <v>1</v>
      </c>
    </row>
    <row r="114" spans="1:8" x14ac:dyDescent="0.25">
      <c r="A114" s="1">
        <v>3</v>
      </c>
      <c r="B114">
        <f t="shared" si="5"/>
        <v>18</v>
      </c>
      <c r="C114" s="1" t="s">
        <v>220</v>
      </c>
      <c r="D114" s="1" t="s">
        <v>221</v>
      </c>
      <c r="E114" s="3" t="s">
        <v>18</v>
      </c>
      <c r="F114" s="32" t="s">
        <v>1593</v>
      </c>
      <c r="G114" s="1" t="s">
        <v>217</v>
      </c>
      <c r="H114" s="6">
        <f>COUNTIF(ValidTeams[],E114)</f>
        <v>1</v>
      </c>
    </row>
    <row r="115" spans="1:8" x14ac:dyDescent="0.25">
      <c r="A115" s="1">
        <v>4</v>
      </c>
      <c r="B115">
        <f t="shared" si="5"/>
        <v>0</v>
      </c>
      <c r="C115" s="1" t="s">
        <v>1594</v>
      </c>
      <c r="D115" s="1" t="s">
        <v>23</v>
      </c>
      <c r="E115" s="3" t="s">
        <v>1595</v>
      </c>
      <c r="F115" s="32" t="s">
        <v>1596</v>
      </c>
      <c r="G115" s="1" t="s">
        <v>217</v>
      </c>
      <c r="H115" s="6">
        <f>COUNTIF(ValidTeams[],E115)</f>
        <v>0</v>
      </c>
    </row>
    <row r="116" spans="1:8" x14ac:dyDescent="0.25">
      <c r="A116" s="1">
        <v>5</v>
      </c>
      <c r="B116">
        <f t="shared" si="5"/>
        <v>16</v>
      </c>
      <c r="C116" s="1" t="s">
        <v>218</v>
      </c>
      <c r="D116" s="1" t="s">
        <v>114</v>
      </c>
      <c r="E116" s="3" t="s">
        <v>18</v>
      </c>
      <c r="F116" s="32" t="s">
        <v>1597</v>
      </c>
      <c r="G116" s="1" t="s">
        <v>217</v>
      </c>
      <c r="H116" s="6">
        <f>COUNTIF(ValidTeams[],E116)</f>
        <v>1</v>
      </c>
    </row>
    <row r="117" spans="1:8" x14ac:dyDescent="0.25">
      <c r="A117" s="1">
        <v>6</v>
      </c>
      <c r="B117">
        <f t="shared" si="5"/>
        <v>0</v>
      </c>
      <c r="C117" s="1" t="s">
        <v>1598</v>
      </c>
      <c r="D117" s="1" t="s">
        <v>194</v>
      </c>
      <c r="E117" s="3" t="s">
        <v>1599</v>
      </c>
      <c r="F117" s="32" t="s">
        <v>1600</v>
      </c>
      <c r="G117" s="1" t="s">
        <v>217</v>
      </c>
      <c r="H117" s="6">
        <f>COUNTIF(ValidTeams[],E117)</f>
        <v>0</v>
      </c>
    </row>
    <row r="118" spans="1:8" x14ac:dyDescent="0.25">
      <c r="A118" s="1">
        <v>7</v>
      </c>
      <c r="B118">
        <f t="shared" si="5"/>
        <v>14</v>
      </c>
      <c r="C118" s="1" t="s">
        <v>224</v>
      </c>
      <c r="D118" s="1" t="s">
        <v>225</v>
      </c>
      <c r="E118" s="3" t="s">
        <v>226</v>
      </c>
      <c r="F118" s="32" t="s">
        <v>1601</v>
      </c>
      <c r="G118" s="1" t="s">
        <v>217</v>
      </c>
      <c r="H118" s="6">
        <f>COUNTIF(ValidTeams[],E118)</f>
        <v>1</v>
      </c>
    </row>
    <row r="119" spans="1:8" x14ac:dyDescent="0.25">
      <c r="A119" s="1">
        <v>8</v>
      </c>
      <c r="B119">
        <f t="shared" si="5"/>
        <v>0</v>
      </c>
      <c r="C119" s="1" t="s">
        <v>1602</v>
      </c>
      <c r="D119" s="1" t="s">
        <v>30</v>
      </c>
      <c r="E119" s="3" t="s">
        <v>1603</v>
      </c>
      <c r="F119" s="32" t="s">
        <v>1579</v>
      </c>
      <c r="G119" s="1" t="s">
        <v>217</v>
      </c>
      <c r="H119" s="6">
        <f>COUNTIF(ValidTeams[],E119)</f>
        <v>0</v>
      </c>
    </row>
    <row r="120" spans="1:8" x14ac:dyDescent="0.25">
      <c r="A120" s="1">
        <v>9</v>
      </c>
      <c r="B120">
        <f t="shared" si="5"/>
        <v>12</v>
      </c>
      <c r="C120" s="1" t="s">
        <v>228</v>
      </c>
      <c r="D120" s="1" t="s">
        <v>229</v>
      </c>
      <c r="E120" s="3" t="s">
        <v>230</v>
      </c>
      <c r="F120" s="32" t="s">
        <v>1604</v>
      </c>
      <c r="G120" s="1" t="s">
        <v>217</v>
      </c>
      <c r="H120" s="6">
        <f>COUNTIF(ValidTeams[],E120)</f>
        <v>1</v>
      </c>
    </row>
    <row r="121" spans="1:8" x14ac:dyDescent="0.25">
      <c r="A121" s="1">
        <v>10</v>
      </c>
      <c r="B121" s="24">
        <f>IF(H121=1,MAX(21-A121,0),0)</f>
        <v>11</v>
      </c>
      <c r="C121" s="1" t="s">
        <v>844</v>
      </c>
      <c r="D121" s="1" t="s">
        <v>696</v>
      </c>
      <c r="E121" s="3" t="s">
        <v>18</v>
      </c>
      <c r="F121" s="32" t="s">
        <v>1605</v>
      </c>
      <c r="G121" s="1" t="s">
        <v>217</v>
      </c>
      <c r="H121" s="24">
        <f>COUNTIF(ValidTeams[],E121)</f>
        <v>1</v>
      </c>
    </row>
    <row r="122" spans="1:8" x14ac:dyDescent="0.25">
      <c r="A122" s="1">
        <v>11</v>
      </c>
      <c r="B122" s="24">
        <f>IF(H122=1,MAX(21-A122,0),0)</f>
        <v>10</v>
      </c>
      <c r="C122" s="1" t="s">
        <v>842</v>
      </c>
      <c r="D122" s="1" t="s">
        <v>225</v>
      </c>
      <c r="E122" s="3" t="s">
        <v>504</v>
      </c>
      <c r="F122" s="32" t="s">
        <v>1606</v>
      </c>
      <c r="G122" s="1" t="s">
        <v>217</v>
      </c>
      <c r="H122" s="24">
        <f>COUNTIF(ValidTeams[],E122)</f>
        <v>1</v>
      </c>
    </row>
    <row r="123" spans="1:8" x14ac:dyDescent="0.25">
      <c r="A123" s="1">
        <v>12</v>
      </c>
      <c r="B123" s="24">
        <f>IF(H123=1,MAX(21-A123,0),0)</f>
        <v>9</v>
      </c>
      <c r="C123" s="1" t="s">
        <v>236</v>
      </c>
      <c r="D123" s="1" t="s">
        <v>237</v>
      </c>
      <c r="E123" s="3" t="s">
        <v>238</v>
      </c>
      <c r="F123" s="32" t="s">
        <v>1607</v>
      </c>
      <c r="G123" s="1" t="s">
        <v>217</v>
      </c>
      <c r="H123" s="24">
        <f>COUNTIF(ValidTeams[],E123)</f>
        <v>1</v>
      </c>
    </row>
    <row r="124" spans="1:8" x14ac:dyDescent="0.25">
      <c r="A124" s="1">
        <v>13</v>
      </c>
      <c r="B124" s="24">
        <f>IF(H124=1,MAX(21-A124,0),0)</f>
        <v>0</v>
      </c>
      <c r="C124" s="1"/>
      <c r="D124" s="1"/>
      <c r="E124" s="3"/>
      <c r="F124" s="32"/>
      <c r="G124" s="1" t="s">
        <v>217</v>
      </c>
      <c r="H124" s="24">
        <f>COUNTIF(ValidTeams[],E124)</f>
        <v>0</v>
      </c>
    </row>
    <row r="125" spans="1:8" x14ac:dyDescent="0.25">
      <c r="A125" s="6"/>
      <c r="B125" s="34"/>
      <c r="C125" s="6"/>
      <c r="D125" s="6"/>
      <c r="E125" s="21"/>
      <c r="F125" s="33"/>
      <c r="G125" s="6"/>
      <c r="H125" s="34"/>
    </row>
    <row r="126" spans="1:8" x14ac:dyDescent="0.25">
      <c r="A126" s="4" t="s">
        <v>0</v>
      </c>
      <c r="B126" s="4" t="s">
        <v>73</v>
      </c>
      <c r="C126" s="4" t="s">
        <v>1</v>
      </c>
      <c r="D126" s="4" t="s">
        <v>2</v>
      </c>
      <c r="E126" s="5" t="s">
        <v>3</v>
      </c>
      <c r="F126" s="31" t="s">
        <v>4</v>
      </c>
      <c r="G126" s="4" t="s">
        <v>5</v>
      </c>
      <c r="H126" s="4" t="s">
        <v>72</v>
      </c>
    </row>
    <row r="127" spans="1:8" x14ac:dyDescent="0.25">
      <c r="A127" s="1">
        <v>1</v>
      </c>
      <c r="B127">
        <f t="shared" ref="B127:B132" si="6">IF(H127=1,MAX(21-A127,0),0)</f>
        <v>20</v>
      </c>
      <c r="C127" s="1" t="s">
        <v>246</v>
      </c>
      <c r="D127" s="1" t="s">
        <v>20</v>
      </c>
      <c r="E127" s="3" t="s">
        <v>44</v>
      </c>
      <c r="F127" s="32" t="s">
        <v>1608</v>
      </c>
      <c r="G127" s="1" t="s">
        <v>248</v>
      </c>
      <c r="H127" s="6">
        <f>COUNTIF(ValidTeams[],E127)</f>
        <v>1</v>
      </c>
    </row>
    <row r="128" spans="1:8" x14ac:dyDescent="0.25">
      <c r="A128" s="1">
        <v>2</v>
      </c>
      <c r="B128">
        <f t="shared" si="6"/>
        <v>19</v>
      </c>
      <c r="C128" s="1" t="s">
        <v>249</v>
      </c>
      <c r="D128" s="1" t="s">
        <v>250</v>
      </c>
      <c r="E128" s="3" t="s">
        <v>504</v>
      </c>
      <c r="F128" s="32" t="s">
        <v>1609</v>
      </c>
      <c r="G128" s="1" t="s">
        <v>248</v>
      </c>
      <c r="H128" s="6">
        <f>COUNTIF(ValidTeams[],E128)</f>
        <v>1</v>
      </c>
    </row>
    <row r="129" spans="1:8" x14ac:dyDescent="0.25">
      <c r="A129" s="1">
        <v>3</v>
      </c>
      <c r="B129">
        <f t="shared" si="6"/>
        <v>0</v>
      </c>
      <c r="C129" s="1" t="s">
        <v>1424</v>
      </c>
      <c r="D129" s="1" t="s">
        <v>194</v>
      </c>
      <c r="E129" s="3" t="s">
        <v>207</v>
      </c>
      <c r="F129" s="32" t="s">
        <v>1610</v>
      </c>
      <c r="G129" s="1" t="s">
        <v>248</v>
      </c>
      <c r="H129" s="6">
        <f>COUNTIF(ValidTeams[],E129)</f>
        <v>0</v>
      </c>
    </row>
    <row r="130" spans="1:8" x14ac:dyDescent="0.25">
      <c r="A130">
        <v>4</v>
      </c>
      <c r="B130">
        <f t="shared" si="6"/>
        <v>17</v>
      </c>
      <c r="C130" t="s">
        <v>113</v>
      </c>
      <c r="D130" t="s">
        <v>253</v>
      </c>
      <c r="E130" t="s">
        <v>254</v>
      </c>
      <c r="F130" s="28">
        <v>1.689699074074074E-2</v>
      </c>
      <c r="G130" t="s">
        <v>248</v>
      </c>
      <c r="H130">
        <f>COUNTIF(ValidTeams[],E130)</f>
        <v>1</v>
      </c>
    </row>
    <row r="131" spans="1:8" x14ac:dyDescent="0.25">
      <c r="A131">
        <v>5</v>
      </c>
      <c r="B131">
        <f t="shared" si="6"/>
        <v>16</v>
      </c>
      <c r="C131" t="s">
        <v>256</v>
      </c>
      <c r="D131" t="s">
        <v>257</v>
      </c>
      <c r="E131" t="s">
        <v>238</v>
      </c>
      <c r="F131" s="28">
        <v>1.8504629629629631E-2</v>
      </c>
      <c r="G131" t="s">
        <v>248</v>
      </c>
      <c r="H131">
        <f>COUNTIF(ValidTeams[],E131)</f>
        <v>1</v>
      </c>
    </row>
    <row r="132" spans="1:8" x14ac:dyDescent="0.25">
      <c r="A132">
        <v>6</v>
      </c>
      <c r="B132">
        <f t="shared" si="6"/>
        <v>0</v>
      </c>
      <c r="C132" t="s">
        <v>860</v>
      </c>
      <c r="D132" t="s">
        <v>861</v>
      </c>
      <c r="E132" t="s">
        <v>862</v>
      </c>
      <c r="F132" s="28">
        <v>1.9068287037037036E-2</v>
      </c>
      <c r="G132" t="s">
        <v>248</v>
      </c>
      <c r="H132">
        <f>COUNTIF(ValidTeams[],E132)</f>
        <v>0</v>
      </c>
    </row>
    <row r="133" spans="1:8" x14ac:dyDescent="0.25">
      <c r="A133" s="1">
        <v>7</v>
      </c>
      <c r="B133" s="24">
        <f>IF(H133=1,MAX(21-A133,0),0)</f>
        <v>0</v>
      </c>
      <c r="C133" s="1" t="s">
        <v>262</v>
      </c>
      <c r="D133" s="1" t="s">
        <v>263</v>
      </c>
      <c r="E133" s="3"/>
      <c r="F133" s="32" t="s">
        <v>1611</v>
      </c>
      <c r="G133" s="1" t="s">
        <v>248</v>
      </c>
      <c r="H133" s="24">
        <f>COUNTIF(ValidTeams[],E133)</f>
        <v>0</v>
      </c>
    </row>
    <row r="134" spans="1:8" x14ac:dyDescent="0.25">
      <c r="A134" s="1">
        <v>8</v>
      </c>
      <c r="B134" s="24">
        <f>IF(H134=1,MAX(21-A134,0),0)</f>
        <v>0</v>
      </c>
      <c r="C134" s="1"/>
      <c r="D134" s="1"/>
      <c r="E134" s="3"/>
      <c r="F134" s="32"/>
      <c r="G134" s="1"/>
      <c r="H134" s="24">
        <f>COUNTIF(ValidTeams[],E134)</f>
        <v>0</v>
      </c>
    </row>
    <row r="135" spans="1:8" x14ac:dyDescent="0.25">
      <c r="A135" s="1">
        <v>9</v>
      </c>
      <c r="B135" s="24">
        <f>IF(H135=1,MAX(21-A135,0),0)</f>
        <v>0</v>
      </c>
      <c r="C135" s="1"/>
      <c r="D135" s="1"/>
      <c r="E135" s="3"/>
      <c r="F135" s="32"/>
      <c r="G135" s="1"/>
      <c r="H135" s="24">
        <f>COUNTIF(ValidTeams[],E135)</f>
        <v>0</v>
      </c>
    </row>
    <row r="136" spans="1:8" x14ac:dyDescent="0.25">
      <c r="A136" s="6"/>
      <c r="B136" s="34"/>
      <c r="C136" s="6"/>
      <c r="D136" s="6"/>
      <c r="E136" s="21"/>
      <c r="F136" s="33"/>
      <c r="G136" s="6"/>
      <c r="H136" s="34"/>
    </row>
    <row r="137" spans="1:8" x14ac:dyDescent="0.25">
      <c r="A137" s="4" t="s">
        <v>0</v>
      </c>
      <c r="B137" s="4" t="s">
        <v>73</v>
      </c>
      <c r="C137" s="4" t="s">
        <v>1</v>
      </c>
      <c r="D137" s="4" t="s">
        <v>2</v>
      </c>
      <c r="E137" s="5" t="s">
        <v>3</v>
      </c>
      <c r="F137" s="31" t="s">
        <v>4</v>
      </c>
      <c r="G137" s="4" t="s">
        <v>5</v>
      </c>
      <c r="H137" s="4" t="s">
        <v>72</v>
      </c>
    </row>
    <row r="138" spans="1:8" x14ac:dyDescent="0.25">
      <c r="A138" s="1">
        <v>1</v>
      </c>
      <c r="B138">
        <f t="shared" ref="B138:B159" si="7">IF(H138=1,MAX(21-A138,0),0)</f>
        <v>20</v>
      </c>
      <c r="C138" s="1" t="s">
        <v>265</v>
      </c>
      <c r="D138" s="1" t="s">
        <v>266</v>
      </c>
      <c r="E138" s="3" t="s">
        <v>267</v>
      </c>
      <c r="F138" s="32" t="s">
        <v>1471</v>
      </c>
      <c r="G138" s="1" t="s">
        <v>269</v>
      </c>
      <c r="H138" s="6">
        <f>COUNTIF(ValidTeams[],E138)</f>
        <v>1</v>
      </c>
    </row>
    <row r="139" spans="1:8" x14ac:dyDescent="0.25">
      <c r="A139" s="1">
        <v>2</v>
      </c>
      <c r="B139">
        <f t="shared" si="7"/>
        <v>19</v>
      </c>
      <c r="C139" s="1" t="s">
        <v>270</v>
      </c>
      <c r="D139" s="1" t="s">
        <v>24</v>
      </c>
      <c r="E139" s="3" t="s">
        <v>271</v>
      </c>
      <c r="F139" s="32" t="s">
        <v>1472</v>
      </c>
      <c r="G139" s="1" t="s">
        <v>269</v>
      </c>
      <c r="H139" s="6">
        <f>COUNTIF(ValidTeams[],E139)</f>
        <v>1</v>
      </c>
    </row>
    <row r="140" spans="1:8" x14ac:dyDescent="0.25">
      <c r="A140" s="1">
        <v>3</v>
      </c>
      <c r="B140">
        <f t="shared" si="7"/>
        <v>18</v>
      </c>
      <c r="C140" s="1" t="s">
        <v>283</v>
      </c>
      <c r="D140" s="1" t="s">
        <v>284</v>
      </c>
      <c r="E140" s="3" t="s">
        <v>18</v>
      </c>
      <c r="F140" s="32" t="s">
        <v>1473</v>
      </c>
      <c r="G140" s="1" t="s">
        <v>269</v>
      </c>
      <c r="H140" s="6">
        <f>COUNTIF(ValidTeams[],E140)</f>
        <v>1</v>
      </c>
    </row>
    <row r="141" spans="1:8" x14ac:dyDescent="0.25">
      <c r="A141" s="1">
        <v>4</v>
      </c>
      <c r="B141">
        <f t="shared" si="7"/>
        <v>17</v>
      </c>
      <c r="C141" s="1" t="s">
        <v>295</v>
      </c>
      <c r="D141" s="1" t="s">
        <v>139</v>
      </c>
      <c r="E141" s="3" t="s">
        <v>18</v>
      </c>
      <c r="F141" s="32" t="s">
        <v>1474</v>
      </c>
      <c r="G141" s="1" t="s">
        <v>269</v>
      </c>
      <c r="H141" s="6">
        <f>COUNTIF(ValidTeams[],E141)</f>
        <v>1</v>
      </c>
    </row>
    <row r="142" spans="1:8" x14ac:dyDescent="0.25">
      <c r="A142" s="1">
        <v>5</v>
      </c>
      <c r="B142">
        <f t="shared" si="7"/>
        <v>16</v>
      </c>
      <c r="C142" s="1" t="s">
        <v>625</v>
      </c>
      <c r="D142" s="1" t="s">
        <v>174</v>
      </c>
      <c r="E142" s="3" t="s">
        <v>290</v>
      </c>
      <c r="F142" s="32" t="s">
        <v>1475</v>
      </c>
      <c r="G142" s="1" t="s">
        <v>269</v>
      </c>
      <c r="H142" s="6">
        <f>COUNTIF(ValidTeams[],E142)</f>
        <v>1</v>
      </c>
    </row>
    <row r="143" spans="1:8" x14ac:dyDescent="0.25">
      <c r="A143" s="1">
        <v>6</v>
      </c>
      <c r="B143">
        <f t="shared" si="7"/>
        <v>15</v>
      </c>
      <c r="C143" s="1" t="s">
        <v>883</v>
      </c>
      <c r="D143" s="1" t="s">
        <v>114</v>
      </c>
      <c r="E143" s="3" t="s">
        <v>448</v>
      </c>
      <c r="F143" s="32" t="s">
        <v>1476</v>
      </c>
      <c r="G143" s="1" t="s">
        <v>269</v>
      </c>
      <c r="H143" s="6">
        <f>COUNTIF(ValidTeams[],E143)</f>
        <v>1</v>
      </c>
    </row>
    <row r="144" spans="1:8" x14ac:dyDescent="0.25">
      <c r="A144" s="1">
        <v>7</v>
      </c>
      <c r="B144">
        <f t="shared" si="7"/>
        <v>14</v>
      </c>
      <c r="C144" s="1" t="s">
        <v>315</v>
      </c>
      <c r="D144" s="1" t="s">
        <v>23</v>
      </c>
      <c r="E144" s="3" t="s">
        <v>18</v>
      </c>
      <c r="F144" s="32" t="s">
        <v>1477</v>
      </c>
      <c r="G144" s="1" t="s">
        <v>269</v>
      </c>
      <c r="H144" s="6">
        <f>COUNTIF(ValidTeams[],E144)</f>
        <v>1</v>
      </c>
    </row>
    <row r="145" spans="1:8" x14ac:dyDescent="0.25">
      <c r="A145" s="1">
        <v>8</v>
      </c>
      <c r="B145">
        <f t="shared" si="7"/>
        <v>0</v>
      </c>
      <c r="C145" s="1" t="s">
        <v>1478</v>
      </c>
      <c r="D145" s="1" t="s">
        <v>585</v>
      </c>
      <c r="E145" s="3"/>
      <c r="F145" s="32" t="s">
        <v>1479</v>
      </c>
      <c r="G145" s="1" t="s">
        <v>269</v>
      </c>
      <c r="H145" s="6">
        <f>COUNTIF(ValidTeams[],E145)</f>
        <v>0</v>
      </c>
    </row>
    <row r="146" spans="1:8" x14ac:dyDescent="0.25">
      <c r="A146" s="1">
        <v>9</v>
      </c>
      <c r="B146">
        <f t="shared" si="7"/>
        <v>12</v>
      </c>
      <c r="C146" s="1" t="s">
        <v>312</v>
      </c>
      <c r="D146" s="1" t="s">
        <v>85</v>
      </c>
      <c r="E146" s="3" t="s">
        <v>313</v>
      </c>
      <c r="F146" s="32" t="s">
        <v>1480</v>
      </c>
      <c r="G146" s="1" t="s">
        <v>269</v>
      </c>
      <c r="H146" s="6">
        <f>COUNTIF(ValidTeams[],E146)</f>
        <v>1</v>
      </c>
    </row>
    <row r="147" spans="1:8" x14ac:dyDescent="0.25">
      <c r="A147" s="1">
        <v>10</v>
      </c>
      <c r="B147">
        <f t="shared" si="7"/>
        <v>0</v>
      </c>
      <c r="C147" s="1" t="s">
        <v>1098</v>
      </c>
      <c r="D147" s="1" t="s">
        <v>33</v>
      </c>
      <c r="E147" s="3" t="s">
        <v>1099</v>
      </c>
      <c r="F147" s="32" t="s">
        <v>1481</v>
      </c>
      <c r="G147" s="1" t="s">
        <v>269</v>
      </c>
      <c r="H147" s="6">
        <f>COUNTIF(ValidTeams[],E147)</f>
        <v>0</v>
      </c>
    </row>
    <row r="148" spans="1:8" x14ac:dyDescent="0.25">
      <c r="A148" s="1">
        <v>11</v>
      </c>
      <c r="B148">
        <f t="shared" si="7"/>
        <v>0</v>
      </c>
      <c r="C148" s="1" t="s">
        <v>1482</v>
      </c>
      <c r="D148" s="1" t="s">
        <v>1483</v>
      </c>
      <c r="E148" s="3"/>
      <c r="F148" s="32" t="s">
        <v>1484</v>
      </c>
      <c r="G148" s="1" t="s">
        <v>269</v>
      </c>
      <c r="H148" s="6">
        <f>COUNTIF(ValidTeams[],E148)</f>
        <v>0</v>
      </c>
    </row>
    <row r="149" spans="1:8" x14ac:dyDescent="0.25">
      <c r="A149" s="1">
        <v>12</v>
      </c>
      <c r="B149">
        <f t="shared" si="7"/>
        <v>0</v>
      </c>
      <c r="C149" s="1" t="s">
        <v>1485</v>
      </c>
      <c r="D149" s="1" t="s">
        <v>837</v>
      </c>
      <c r="E149" s="3" t="s">
        <v>1486</v>
      </c>
      <c r="F149" s="32" t="s">
        <v>1487</v>
      </c>
      <c r="G149" s="1" t="s">
        <v>269</v>
      </c>
      <c r="H149" s="6">
        <f>COUNTIF(ValidTeams[],E149)</f>
        <v>0</v>
      </c>
    </row>
    <row r="150" spans="1:8" x14ac:dyDescent="0.25">
      <c r="A150" s="1">
        <v>13</v>
      </c>
      <c r="B150">
        <f t="shared" si="7"/>
        <v>0</v>
      </c>
      <c r="C150" s="1"/>
      <c r="D150" s="1"/>
      <c r="E150" s="3"/>
      <c r="F150" s="32"/>
      <c r="G150" s="1" t="s">
        <v>269</v>
      </c>
      <c r="H150" s="6">
        <f>COUNTIF(ValidTeams[],E150)</f>
        <v>0</v>
      </c>
    </row>
    <row r="151" spans="1:8" x14ac:dyDescent="0.25">
      <c r="A151" s="1">
        <v>14</v>
      </c>
      <c r="B151">
        <f t="shared" si="7"/>
        <v>0</v>
      </c>
      <c r="C151" s="1"/>
      <c r="D151" s="1"/>
      <c r="E151" s="3"/>
      <c r="F151" s="32"/>
      <c r="G151" s="1" t="s">
        <v>269</v>
      </c>
      <c r="H151" s="6">
        <f>COUNTIF(ValidTeams[],E151)</f>
        <v>0</v>
      </c>
    </row>
    <row r="152" spans="1:8" x14ac:dyDescent="0.25">
      <c r="A152">
        <v>15</v>
      </c>
      <c r="B152">
        <f t="shared" si="7"/>
        <v>0</v>
      </c>
      <c r="E152"/>
      <c r="F152" s="28"/>
      <c r="G152" t="s">
        <v>269</v>
      </c>
      <c r="H152">
        <f>COUNTIF(ValidTeams[],E152)</f>
        <v>0</v>
      </c>
    </row>
    <row r="153" spans="1:8" x14ac:dyDescent="0.25">
      <c r="A153" s="1">
        <v>16</v>
      </c>
      <c r="B153">
        <f t="shared" si="7"/>
        <v>0</v>
      </c>
      <c r="C153" s="1"/>
      <c r="D153" s="1"/>
      <c r="E153" s="3"/>
      <c r="F153" s="32"/>
      <c r="G153" s="1" t="s">
        <v>269</v>
      </c>
      <c r="H153" s="6">
        <f>COUNTIF(ValidTeams[],E153)</f>
        <v>0</v>
      </c>
    </row>
    <row r="154" spans="1:8" x14ac:dyDescent="0.25">
      <c r="A154" s="1">
        <v>17</v>
      </c>
      <c r="B154">
        <f t="shared" si="7"/>
        <v>0</v>
      </c>
      <c r="C154" s="1"/>
      <c r="D154" s="1"/>
      <c r="E154" s="3"/>
      <c r="F154" s="32"/>
      <c r="G154" s="1" t="s">
        <v>269</v>
      </c>
      <c r="H154" s="6">
        <f>COUNTIF(ValidTeams[],E154)</f>
        <v>0</v>
      </c>
    </row>
    <row r="155" spans="1:8" x14ac:dyDescent="0.25">
      <c r="A155" s="1">
        <v>18</v>
      </c>
      <c r="B155">
        <f t="shared" si="7"/>
        <v>0</v>
      </c>
      <c r="C155" s="1"/>
      <c r="D155" s="1"/>
      <c r="E155" s="3"/>
      <c r="F155" s="32"/>
      <c r="G155" s="1" t="s">
        <v>269</v>
      </c>
      <c r="H155" s="6">
        <f>COUNTIF(ValidTeams[],E155)</f>
        <v>0</v>
      </c>
    </row>
    <row r="156" spans="1:8" x14ac:dyDescent="0.25">
      <c r="A156">
        <v>19</v>
      </c>
      <c r="B156">
        <f t="shared" si="7"/>
        <v>0</v>
      </c>
      <c r="E156"/>
      <c r="F156" s="28"/>
      <c r="G156" t="s">
        <v>269</v>
      </c>
      <c r="H156">
        <f>COUNTIF(ValidTeams[],E156)</f>
        <v>0</v>
      </c>
    </row>
    <row r="157" spans="1:8" x14ac:dyDescent="0.25">
      <c r="A157">
        <v>20</v>
      </c>
      <c r="B157">
        <f t="shared" si="7"/>
        <v>0</v>
      </c>
      <c r="E157"/>
      <c r="F157" s="28"/>
      <c r="G157" t="s">
        <v>269</v>
      </c>
      <c r="H157">
        <f>COUNTIF(ValidTeams[],E157)</f>
        <v>0</v>
      </c>
    </row>
    <row r="158" spans="1:8" x14ac:dyDescent="0.25">
      <c r="A158">
        <v>21</v>
      </c>
      <c r="B158">
        <f t="shared" si="7"/>
        <v>0</v>
      </c>
      <c r="E158"/>
      <c r="F158" s="28"/>
      <c r="G158" t="s">
        <v>269</v>
      </c>
      <c r="H158">
        <f>COUNTIF(ValidTeams[],E158)</f>
        <v>0</v>
      </c>
    </row>
    <row r="159" spans="1:8" x14ac:dyDescent="0.25">
      <c r="A159">
        <v>22</v>
      </c>
      <c r="B159">
        <f t="shared" si="7"/>
        <v>0</v>
      </c>
      <c r="E159"/>
      <c r="G159" t="s">
        <v>269</v>
      </c>
      <c r="H159">
        <f>COUNTIF(ValidTeams[],E159)</f>
        <v>0</v>
      </c>
    </row>
    <row r="160" spans="1:8" x14ac:dyDescent="0.25">
      <c r="F160" s="29"/>
    </row>
    <row r="161" spans="1:8" x14ac:dyDescent="0.25">
      <c r="A161" s="4" t="s">
        <v>0</v>
      </c>
      <c r="B161" s="4" t="s">
        <v>73</v>
      </c>
      <c r="C161" s="4" t="s">
        <v>1</v>
      </c>
      <c r="D161" s="4" t="s">
        <v>2</v>
      </c>
      <c r="E161" s="5" t="s">
        <v>3</v>
      </c>
      <c r="F161" s="31" t="s">
        <v>4</v>
      </c>
      <c r="G161" s="4" t="s">
        <v>5</v>
      </c>
      <c r="H161" s="4" t="s">
        <v>72</v>
      </c>
    </row>
    <row r="162" spans="1:8" x14ac:dyDescent="0.25">
      <c r="A162" s="1">
        <v>1</v>
      </c>
      <c r="B162">
        <f t="shared" ref="B162:B171" si="8">IF(H162=1,MAX(21-A162,0),0)</f>
        <v>20</v>
      </c>
      <c r="C162" s="1" t="s">
        <v>329</v>
      </c>
      <c r="D162" s="1" t="s">
        <v>330</v>
      </c>
      <c r="E162" s="3" t="s">
        <v>441</v>
      </c>
      <c r="F162" s="32" t="s">
        <v>1618</v>
      </c>
      <c r="G162" s="1" t="s">
        <v>331</v>
      </c>
      <c r="H162" s="6">
        <f>COUNTIF(ValidTeams[],E162)</f>
        <v>1</v>
      </c>
    </row>
    <row r="163" spans="1:8" x14ac:dyDescent="0.25">
      <c r="A163" s="1">
        <v>2</v>
      </c>
      <c r="B163">
        <f t="shared" si="8"/>
        <v>19</v>
      </c>
      <c r="C163" s="1" t="s">
        <v>883</v>
      </c>
      <c r="D163" s="1" t="s">
        <v>665</v>
      </c>
      <c r="E163" s="3" t="s">
        <v>448</v>
      </c>
      <c r="F163" s="32" t="s">
        <v>1619</v>
      </c>
      <c r="G163" s="1" t="s">
        <v>331</v>
      </c>
      <c r="H163" s="6">
        <f>COUNTIF(ValidTeams[],E163)</f>
        <v>1</v>
      </c>
    </row>
    <row r="164" spans="1:8" x14ac:dyDescent="0.25">
      <c r="A164" s="1">
        <v>3</v>
      </c>
      <c r="B164">
        <f t="shared" si="8"/>
        <v>18</v>
      </c>
      <c r="C164" s="1" t="s">
        <v>335</v>
      </c>
      <c r="D164" s="1" t="s">
        <v>336</v>
      </c>
      <c r="E164" s="3" t="s">
        <v>88</v>
      </c>
      <c r="F164" s="32" t="s">
        <v>1052</v>
      </c>
      <c r="G164" s="1" t="s">
        <v>331</v>
      </c>
      <c r="H164" s="6">
        <f>COUNTIF(ValidTeams[],E164)</f>
        <v>1</v>
      </c>
    </row>
    <row r="165" spans="1:8" x14ac:dyDescent="0.25">
      <c r="A165" s="1">
        <v>4</v>
      </c>
      <c r="B165">
        <f t="shared" si="8"/>
        <v>17</v>
      </c>
      <c r="C165" s="1" t="s">
        <v>6</v>
      </c>
      <c r="D165" s="1" t="s">
        <v>341</v>
      </c>
      <c r="E165" s="3" t="s">
        <v>8</v>
      </c>
      <c r="F165" s="32" t="s">
        <v>1620</v>
      </c>
      <c r="G165" s="1" t="s">
        <v>331</v>
      </c>
      <c r="H165" s="6">
        <f>COUNTIF(ValidTeams[],E165)</f>
        <v>1</v>
      </c>
    </row>
    <row r="166" spans="1:8" x14ac:dyDescent="0.25">
      <c r="A166" s="1">
        <v>5</v>
      </c>
      <c r="B166">
        <f t="shared" si="8"/>
        <v>16</v>
      </c>
      <c r="C166" s="1" t="s">
        <v>1621</v>
      </c>
      <c r="D166" s="1" t="s">
        <v>1622</v>
      </c>
      <c r="E166" s="3" t="s">
        <v>38</v>
      </c>
      <c r="F166" s="32" t="s">
        <v>1623</v>
      </c>
      <c r="G166" s="1" t="s">
        <v>331</v>
      </c>
      <c r="H166" s="6">
        <f>COUNTIF(ValidTeams[],E166)</f>
        <v>1</v>
      </c>
    </row>
    <row r="167" spans="1:8" x14ac:dyDescent="0.25">
      <c r="A167" s="1">
        <v>6</v>
      </c>
      <c r="B167">
        <f t="shared" si="8"/>
        <v>15</v>
      </c>
      <c r="C167" s="1" t="s">
        <v>351</v>
      </c>
      <c r="D167" s="1" t="s">
        <v>352</v>
      </c>
      <c r="E167" s="3" t="s">
        <v>38</v>
      </c>
      <c r="F167" s="32" t="s">
        <v>1624</v>
      </c>
      <c r="G167" s="1" t="s">
        <v>331</v>
      </c>
      <c r="H167" s="6">
        <f>COUNTIF(ValidTeams[],E167)</f>
        <v>1</v>
      </c>
    </row>
    <row r="168" spans="1:8" x14ac:dyDescent="0.25">
      <c r="A168" s="1">
        <v>7</v>
      </c>
      <c r="B168">
        <f t="shared" si="8"/>
        <v>0</v>
      </c>
      <c r="C168" s="1" t="s">
        <v>196</v>
      </c>
      <c r="D168" s="1" t="s">
        <v>1625</v>
      </c>
      <c r="E168" s="3"/>
      <c r="F168" s="32" t="s">
        <v>1626</v>
      </c>
      <c r="G168" s="1" t="s">
        <v>331</v>
      </c>
      <c r="H168" s="6">
        <f>COUNTIF(ValidTeams[],E168)</f>
        <v>0</v>
      </c>
    </row>
    <row r="169" spans="1:8" x14ac:dyDescent="0.25">
      <c r="A169" s="1">
        <v>8</v>
      </c>
      <c r="B169">
        <f t="shared" si="8"/>
        <v>0</v>
      </c>
      <c r="C169" s="1" t="s">
        <v>910</v>
      </c>
      <c r="D169" s="1" t="s">
        <v>911</v>
      </c>
      <c r="E169" s="3" t="s">
        <v>912</v>
      </c>
      <c r="F169" s="32" t="s">
        <v>1627</v>
      </c>
      <c r="G169" s="1" t="s">
        <v>331</v>
      </c>
      <c r="H169" s="6">
        <f>COUNTIF(ValidTeams[],E169)</f>
        <v>0</v>
      </c>
    </row>
    <row r="170" spans="1:8" x14ac:dyDescent="0.25">
      <c r="A170" s="1">
        <v>9</v>
      </c>
      <c r="B170">
        <f t="shared" si="8"/>
        <v>12</v>
      </c>
      <c r="C170" t="s">
        <v>356</v>
      </c>
      <c r="D170" t="s">
        <v>357</v>
      </c>
      <c r="E170" t="s">
        <v>100</v>
      </c>
      <c r="F170" s="28">
        <v>2.2472222222222223E-2</v>
      </c>
      <c r="G170" s="1" t="s">
        <v>331</v>
      </c>
      <c r="H170" s="6">
        <f>COUNTIF(ValidTeams[],E170)</f>
        <v>1</v>
      </c>
    </row>
    <row r="171" spans="1:8" x14ac:dyDescent="0.25">
      <c r="A171" s="1">
        <v>10</v>
      </c>
      <c r="B171">
        <f t="shared" si="8"/>
        <v>0</v>
      </c>
      <c r="E171"/>
      <c r="F171" s="28"/>
      <c r="G171" s="1" t="s">
        <v>331</v>
      </c>
      <c r="H171" s="6">
        <f>COUNTIF(ValidTeams[],E171)</f>
        <v>0</v>
      </c>
    </row>
    <row r="172" spans="1:8" x14ac:dyDescent="0.25">
      <c r="A172" s="1">
        <v>11</v>
      </c>
      <c r="B172" s="1">
        <f>IF(H172=1,MAX(21-A172,0),0)</f>
        <v>0</v>
      </c>
      <c r="E172"/>
      <c r="F172" s="28"/>
      <c r="G172" s="1" t="s">
        <v>331</v>
      </c>
      <c r="H172" s="6">
        <f>COUNTIF(ValidTeams[],E172)</f>
        <v>0</v>
      </c>
    </row>
    <row r="173" spans="1:8" x14ac:dyDescent="0.25">
      <c r="A173" s="6"/>
      <c r="B173" s="6"/>
      <c r="C173" s="6"/>
      <c r="D173" s="6"/>
      <c r="E173" s="21"/>
      <c r="F173" s="33"/>
      <c r="G173" s="6"/>
      <c r="H173" s="34"/>
    </row>
    <row r="174" spans="1:8" x14ac:dyDescent="0.25">
      <c r="A174" s="4" t="s">
        <v>0</v>
      </c>
      <c r="B174" s="4" t="s">
        <v>73</v>
      </c>
      <c r="C174" s="4" t="s">
        <v>1</v>
      </c>
      <c r="D174" s="4" t="s">
        <v>2</v>
      </c>
      <c r="E174" s="5" t="s">
        <v>3</v>
      </c>
      <c r="F174" s="31" t="s">
        <v>4</v>
      </c>
      <c r="G174" s="4" t="s">
        <v>5</v>
      </c>
      <c r="H174" s="4" t="s">
        <v>72</v>
      </c>
    </row>
    <row r="175" spans="1:8" x14ac:dyDescent="0.25">
      <c r="A175" s="1">
        <v>1</v>
      </c>
      <c r="B175">
        <f t="shared" ref="B175:B196" si="9">IF(H175=1,MAX(21-A175,0),0)</f>
        <v>20</v>
      </c>
      <c r="C175" s="6" t="s">
        <v>613</v>
      </c>
      <c r="D175" s="6" t="s">
        <v>281</v>
      </c>
      <c r="E175" s="21" t="s">
        <v>452</v>
      </c>
      <c r="F175" s="33" t="s">
        <v>1508</v>
      </c>
      <c r="G175" s="1" t="s">
        <v>363</v>
      </c>
      <c r="H175" s="6">
        <f>COUNTIF(ValidTeams[],E175)</f>
        <v>1</v>
      </c>
    </row>
    <row r="176" spans="1:8" x14ac:dyDescent="0.25">
      <c r="A176" s="1">
        <v>2</v>
      </c>
      <c r="B176">
        <f t="shared" si="9"/>
        <v>19</v>
      </c>
      <c r="C176" s="6" t="s">
        <v>1509</v>
      </c>
      <c r="D176" s="6" t="s">
        <v>1125</v>
      </c>
      <c r="E176" s="3" t="s">
        <v>1510</v>
      </c>
      <c r="F176" s="32" t="s">
        <v>1511</v>
      </c>
      <c r="G176" s="1" t="s">
        <v>363</v>
      </c>
      <c r="H176" s="6">
        <f>COUNTIF(ValidTeams[],E176)</f>
        <v>1</v>
      </c>
    </row>
    <row r="177" spans="1:8" x14ac:dyDescent="0.25">
      <c r="A177" s="1">
        <v>3</v>
      </c>
      <c r="B177">
        <f t="shared" si="9"/>
        <v>18</v>
      </c>
      <c r="C177" s="6" t="s">
        <v>1513</v>
      </c>
      <c r="D177" s="6" t="s">
        <v>368</v>
      </c>
      <c r="E177" s="3" t="s">
        <v>1236</v>
      </c>
      <c r="F177" s="32" t="s">
        <v>1514</v>
      </c>
      <c r="G177" s="1" t="s">
        <v>363</v>
      </c>
      <c r="H177" s="6">
        <f>COUNTIF(ValidTeams[],E177)</f>
        <v>1</v>
      </c>
    </row>
    <row r="178" spans="1:8" x14ac:dyDescent="0.25">
      <c r="A178" s="1">
        <v>4</v>
      </c>
      <c r="B178">
        <f t="shared" si="9"/>
        <v>17</v>
      </c>
      <c r="C178" s="6" t="s">
        <v>956</v>
      </c>
      <c r="D178" s="6" t="s">
        <v>595</v>
      </c>
      <c r="E178" s="3" t="s">
        <v>18</v>
      </c>
      <c r="F178" s="32" t="s">
        <v>1515</v>
      </c>
      <c r="G178" s="1" t="s">
        <v>363</v>
      </c>
      <c r="H178" s="6">
        <f>COUNTIF(ValidTeams[],E178)</f>
        <v>1</v>
      </c>
    </row>
    <row r="179" spans="1:8" x14ac:dyDescent="0.25">
      <c r="A179" s="1">
        <v>5</v>
      </c>
      <c r="B179">
        <f t="shared" si="9"/>
        <v>16</v>
      </c>
      <c r="C179" s="6" t="s">
        <v>66</v>
      </c>
      <c r="D179" s="6" t="s">
        <v>176</v>
      </c>
      <c r="E179" s="3" t="s">
        <v>442</v>
      </c>
      <c r="F179" s="32" t="s">
        <v>1516</v>
      </c>
      <c r="G179" s="1" t="s">
        <v>363</v>
      </c>
      <c r="H179" s="6">
        <f>COUNTIF(ValidTeams[],E179)</f>
        <v>1</v>
      </c>
    </row>
    <row r="180" spans="1:8" x14ac:dyDescent="0.25">
      <c r="A180" s="1">
        <v>6</v>
      </c>
      <c r="B180">
        <f t="shared" si="9"/>
        <v>15</v>
      </c>
      <c r="C180" s="6" t="s">
        <v>286</v>
      </c>
      <c r="D180" s="6" t="s">
        <v>287</v>
      </c>
      <c r="E180" s="3" t="s">
        <v>38</v>
      </c>
      <c r="F180" s="32" t="s">
        <v>1517</v>
      </c>
      <c r="G180" s="1" t="s">
        <v>363</v>
      </c>
      <c r="H180" s="6">
        <f>COUNTIF(ValidTeams[],E180)</f>
        <v>1</v>
      </c>
    </row>
    <row r="181" spans="1:8" x14ac:dyDescent="0.25">
      <c r="A181" s="1">
        <v>7</v>
      </c>
      <c r="B181">
        <f t="shared" si="9"/>
        <v>0</v>
      </c>
      <c r="C181" s="6" t="s">
        <v>1518</v>
      </c>
      <c r="D181" s="6" t="s">
        <v>1519</v>
      </c>
      <c r="E181" s="3" t="s">
        <v>1520</v>
      </c>
      <c r="F181" s="32" t="s">
        <v>1521</v>
      </c>
      <c r="G181" s="1" t="s">
        <v>363</v>
      </c>
      <c r="H181" s="6">
        <f>COUNTIF(ValidTeams[],E181)</f>
        <v>0</v>
      </c>
    </row>
    <row r="182" spans="1:8" x14ac:dyDescent="0.25">
      <c r="A182" s="1">
        <v>8</v>
      </c>
      <c r="B182">
        <f t="shared" si="9"/>
        <v>13</v>
      </c>
      <c r="C182" s="6" t="s">
        <v>365</v>
      </c>
      <c r="D182" s="6" t="s">
        <v>366</v>
      </c>
      <c r="E182" s="3" t="s">
        <v>222</v>
      </c>
      <c r="F182" s="32" t="s">
        <v>1522</v>
      </c>
      <c r="G182" s="1" t="s">
        <v>363</v>
      </c>
      <c r="H182" s="6">
        <f>COUNTIF(ValidTeams[],E182)</f>
        <v>1</v>
      </c>
    </row>
    <row r="183" spans="1:8" x14ac:dyDescent="0.25">
      <c r="A183">
        <v>9</v>
      </c>
      <c r="B183">
        <f t="shared" si="9"/>
        <v>12</v>
      </c>
      <c r="C183" s="6" t="s">
        <v>1523</v>
      </c>
      <c r="D183" s="6" t="s">
        <v>14</v>
      </c>
      <c r="E183" s="3" t="s">
        <v>389</v>
      </c>
      <c r="F183" s="32" t="s">
        <v>1272</v>
      </c>
      <c r="G183" t="s">
        <v>363</v>
      </c>
      <c r="H183" s="6">
        <f>COUNTIF(ValidTeams[],E183)</f>
        <v>1</v>
      </c>
    </row>
    <row r="184" spans="1:8" x14ac:dyDescent="0.25">
      <c r="A184">
        <v>10</v>
      </c>
      <c r="B184">
        <f t="shared" si="9"/>
        <v>11</v>
      </c>
      <c r="C184" s="6" t="s">
        <v>370</v>
      </c>
      <c r="D184" s="6" t="s">
        <v>281</v>
      </c>
      <c r="E184" s="3" t="s">
        <v>267</v>
      </c>
      <c r="F184" s="32" t="s">
        <v>1524</v>
      </c>
      <c r="G184" t="s">
        <v>363</v>
      </c>
      <c r="H184" s="6">
        <f>COUNTIF(ValidTeams[],E184)</f>
        <v>1</v>
      </c>
    </row>
    <row r="185" spans="1:8" x14ac:dyDescent="0.25">
      <c r="A185">
        <v>11</v>
      </c>
      <c r="B185">
        <f t="shared" si="9"/>
        <v>0</v>
      </c>
      <c r="C185" s="6" t="s">
        <v>1445</v>
      </c>
      <c r="D185" s="6" t="s">
        <v>194</v>
      </c>
      <c r="E185" s="3" t="s">
        <v>1446</v>
      </c>
      <c r="F185" s="32" t="s">
        <v>1525</v>
      </c>
      <c r="G185" t="s">
        <v>363</v>
      </c>
      <c r="H185" s="6">
        <f>COUNTIF(ValidTeams[],E185)</f>
        <v>0</v>
      </c>
    </row>
    <row r="186" spans="1:8" x14ac:dyDescent="0.25">
      <c r="A186">
        <v>12</v>
      </c>
      <c r="B186">
        <f t="shared" si="9"/>
        <v>0</v>
      </c>
      <c r="C186" t="s">
        <v>1526</v>
      </c>
      <c r="D186" t="s">
        <v>194</v>
      </c>
      <c r="E186" s="27" t="s">
        <v>1527</v>
      </c>
      <c r="F186" s="28">
        <v>1.8391203703703705E-2</v>
      </c>
      <c r="G186" t="s">
        <v>363</v>
      </c>
      <c r="H186" s="6">
        <f>COUNTIF(ValidTeams[],E186)</f>
        <v>0</v>
      </c>
    </row>
    <row r="187" spans="1:8" x14ac:dyDescent="0.25">
      <c r="A187">
        <v>13</v>
      </c>
      <c r="B187">
        <f t="shared" si="9"/>
        <v>0</v>
      </c>
      <c r="E187"/>
      <c r="F187" s="28"/>
      <c r="G187" t="s">
        <v>363</v>
      </c>
      <c r="H187" s="6">
        <f>COUNTIF(ValidTeams[],E187)</f>
        <v>0</v>
      </c>
    </row>
    <row r="188" spans="1:8" x14ac:dyDescent="0.25">
      <c r="A188">
        <v>14</v>
      </c>
      <c r="B188">
        <f t="shared" si="9"/>
        <v>0</v>
      </c>
      <c r="E188"/>
      <c r="F188" s="28"/>
      <c r="G188" t="s">
        <v>363</v>
      </c>
      <c r="H188" s="6">
        <f>COUNTIF(ValidTeams[],E188)</f>
        <v>0</v>
      </c>
    </row>
    <row r="189" spans="1:8" x14ac:dyDescent="0.25">
      <c r="A189" s="1">
        <v>15</v>
      </c>
      <c r="B189" s="1">
        <f t="shared" si="9"/>
        <v>0</v>
      </c>
      <c r="C189" s="1"/>
      <c r="D189" s="1"/>
      <c r="E189" s="3"/>
      <c r="F189" s="32"/>
      <c r="G189" s="1" t="s">
        <v>363</v>
      </c>
      <c r="H189" s="24">
        <f>COUNTIF(ValidTeams[],E189)</f>
        <v>0</v>
      </c>
    </row>
    <row r="190" spans="1:8" x14ac:dyDescent="0.25">
      <c r="A190" s="1">
        <v>16</v>
      </c>
      <c r="B190" s="1">
        <f t="shared" si="9"/>
        <v>0</v>
      </c>
      <c r="C190" s="1"/>
      <c r="D190" s="1"/>
      <c r="E190" s="3"/>
      <c r="F190" s="32"/>
      <c r="G190" s="1" t="s">
        <v>363</v>
      </c>
      <c r="H190" s="24">
        <f>COUNTIF(ValidTeams[],E190)</f>
        <v>0</v>
      </c>
    </row>
    <row r="191" spans="1:8" x14ac:dyDescent="0.25">
      <c r="A191" s="1">
        <v>17</v>
      </c>
      <c r="B191" s="1">
        <f t="shared" si="9"/>
        <v>0</v>
      </c>
      <c r="C191" s="1"/>
      <c r="D191" s="1"/>
      <c r="E191" s="3"/>
      <c r="F191" s="32"/>
      <c r="G191" s="1" t="s">
        <v>363</v>
      </c>
      <c r="H191" s="24">
        <f>COUNTIF(ValidTeams[],E191)</f>
        <v>0</v>
      </c>
    </row>
    <row r="192" spans="1:8" x14ac:dyDescent="0.25">
      <c r="A192" s="1">
        <v>18</v>
      </c>
      <c r="B192" s="1">
        <f t="shared" si="9"/>
        <v>0</v>
      </c>
      <c r="C192" s="1"/>
      <c r="D192" s="1"/>
      <c r="E192" s="3"/>
      <c r="F192" s="32"/>
      <c r="G192" s="1" t="s">
        <v>363</v>
      </c>
      <c r="H192" s="24">
        <f>COUNTIF(ValidTeams[],E192)</f>
        <v>0</v>
      </c>
    </row>
    <row r="193" spans="1:8" x14ac:dyDescent="0.25">
      <c r="A193" s="1">
        <v>19</v>
      </c>
      <c r="B193" s="1">
        <f t="shared" si="9"/>
        <v>0</v>
      </c>
      <c r="C193" s="1"/>
      <c r="D193" s="1"/>
      <c r="E193"/>
      <c r="F193" s="32"/>
      <c r="G193" s="1" t="s">
        <v>363</v>
      </c>
      <c r="H193" s="24">
        <f>COUNTIF(ValidTeams[],E193)</f>
        <v>0</v>
      </c>
    </row>
    <row r="194" spans="1:8" x14ac:dyDescent="0.25">
      <c r="A194" s="1">
        <v>20</v>
      </c>
      <c r="B194" s="1">
        <f t="shared" si="9"/>
        <v>0</v>
      </c>
      <c r="C194" s="1"/>
      <c r="D194" s="1"/>
      <c r="E194" s="3"/>
      <c r="F194" s="32"/>
      <c r="G194" s="1" t="s">
        <v>363</v>
      </c>
      <c r="H194" s="24">
        <f>COUNTIF(ValidTeams[],E194)</f>
        <v>0</v>
      </c>
    </row>
    <row r="195" spans="1:8" x14ac:dyDescent="0.25">
      <c r="A195" s="1">
        <v>21</v>
      </c>
      <c r="B195" s="1">
        <f t="shared" si="9"/>
        <v>0</v>
      </c>
      <c r="C195" s="1"/>
      <c r="D195" s="1"/>
      <c r="E195" s="3"/>
      <c r="F195" s="32"/>
      <c r="G195" s="1" t="s">
        <v>363</v>
      </c>
      <c r="H195" s="24">
        <f>COUNTIF(ValidTeams[],E195)</f>
        <v>0</v>
      </c>
    </row>
    <row r="196" spans="1:8" x14ac:dyDescent="0.25">
      <c r="A196" s="1">
        <v>22</v>
      </c>
      <c r="B196" s="1">
        <f t="shared" si="9"/>
        <v>0</v>
      </c>
      <c r="C196" s="1"/>
      <c r="D196" s="1"/>
      <c r="E196" s="3"/>
      <c r="F196" s="32"/>
      <c r="G196" s="1" t="s">
        <v>363</v>
      </c>
      <c r="H196" s="24">
        <f>COUNTIF(ValidTeams[],E196)</f>
        <v>0</v>
      </c>
    </row>
    <row r="197" spans="1:8" x14ac:dyDescent="0.25">
      <c r="A197" s="6"/>
      <c r="B197" s="6"/>
      <c r="C197" s="6"/>
      <c r="D197" s="6"/>
      <c r="E197" s="21"/>
      <c r="F197" s="33"/>
      <c r="G197" s="6"/>
      <c r="H197" s="34"/>
    </row>
    <row r="198" spans="1:8" x14ac:dyDescent="0.25">
      <c r="A198" s="4" t="s">
        <v>0</v>
      </c>
      <c r="B198" s="4" t="s">
        <v>73</v>
      </c>
      <c r="C198" s="4" t="s">
        <v>1</v>
      </c>
      <c r="D198" s="4" t="s">
        <v>2</v>
      </c>
      <c r="E198" s="5" t="s">
        <v>3</v>
      </c>
      <c r="F198" s="31" t="s">
        <v>4</v>
      </c>
      <c r="G198" s="4" t="s">
        <v>5</v>
      </c>
      <c r="H198" s="4" t="s">
        <v>72</v>
      </c>
    </row>
    <row r="199" spans="1:8" x14ac:dyDescent="0.25">
      <c r="A199" s="1">
        <v>1</v>
      </c>
      <c r="B199">
        <f t="shared" ref="B199:B201" si="10">IF(H199=1,MAX(21-A199,0),0)</f>
        <v>0</v>
      </c>
      <c r="C199" s="1" t="s">
        <v>1637</v>
      </c>
      <c r="D199" s="1" t="s">
        <v>81</v>
      </c>
      <c r="E199" s="3" t="s">
        <v>797</v>
      </c>
      <c r="F199" s="32" t="s">
        <v>1638</v>
      </c>
      <c r="G199" s="1" t="s">
        <v>399</v>
      </c>
      <c r="H199" s="6">
        <f>COUNTIF(ValidTeams[],E199)</f>
        <v>0</v>
      </c>
    </row>
    <row r="200" spans="1:8" x14ac:dyDescent="0.25">
      <c r="A200" s="1">
        <v>2</v>
      </c>
      <c r="B200">
        <f t="shared" si="10"/>
        <v>19</v>
      </c>
      <c r="C200" s="1" t="s">
        <v>396</v>
      </c>
      <c r="D200" s="1" t="s">
        <v>397</v>
      </c>
      <c r="E200" s="3" t="s">
        <v>88</v>
      </c>
      <c r="F200" s="32" t="s">
        <v>1639</v>
      </c>
      <c r="G200" s="1" t="s">
        <v>399</v>
      </c>
      <c r="H200" s="6">
        <f>COUNTIF(ValidTeams[],E200)</f>
        <v>1</v>
      </c>
    </row>
    <row r="201" spans="1:8" x14ac:dyDescent="0.25">
      <c r="A201" s="1">
        <v>3</v>
      </c>
      <c r="B201">
        <f t="shared" si="10"/>
        <v>18</v>
      </c>
      <c r="C201" s="1" t="s">
        <v>400</v>
      </c>
      <c r="D201" s="1" t="s">
        <v>401</v>
      </c>
      <c r="E201" s="3" t="s">
        <v>290</v>
      </c>
      <c r="F201" s="32" t="s">
        <v>1640</v>
      </c>
      <c r="G201" s="1" t="s">
        <v>399</v>
      </c>
      <c r="H201" s="6">
        <f>COUNTIF(ValidTeams[],E201)</f>
        <v>1</v>
      </c>
    </row>
    <row r="202" spans="1:8" x14ac:dyDescent="0.25">
      <c r="A202" s="1">
        <v>4</v>
      </c>
      <c r="B202" s="1">
        <f>IF(H202=1,MAX(21-A202,0),0)</f>
        <v>0</v>
      </c>
      <c r="C202" s="1"/>
      <c r="D202" s="1"/>
      <c r="E202" s="3"/>
      <c r="F202" s="32"/>
      <c r="G202" s="1" t="s">
        <v>399</v>
      </c>
      <c r="H202" s="24">
        <f>COUNTIF(ValidTeams[],E202)</f>
        <v>0</v>
      </c>
    </row>
    <row r="203" spans="1:8" x14ac:dyDescent="0.25">
      <c r="A203" s="1">
        <v>5</v>
      </c>
      <c r="B203" s="1">
        <f>IF(H203=1,MAX(21-A203,0),0)</f>
        <v>0</v>
      </c>
      <c r="C203" s="1"/>
      <c r="D203" s="1"/>
      <c r="E203" s="3"/>
      <c r="F203" s="32"/>
      <c r="G203" s="1" t="s">
        <v>399</v>
      </c>
      <c r="H203" s="24">
        <f>COUNTIF(ValidTeams[],E203)</f>
        <v>0</v>
      </c>
    </row>
    <row r="204" spans="1:8" x14ac:dyDescent="0.25">
      <c r="A204" s="1">
        <v>6</v>
      </c>
      <c r="B204" s="1">
        <f>IF(H204=1,MAX(21-A204,0),0)</f>
        <v>0</v>
      </c>
      <c r="C204" s="1"/>
      <c r="D204" s="1"/>
      <c r="E204" s="3"/>
      <c r="F204" s="32"/>
      <c r="G204" s="1" t="s">
        <v>399</v>
      </c>
      <c r="H204" s="24">
        <f>COUNTIF(ValidTeams[],E204)</f>
        <v>0</v>
      </c>
    </row>
    <row r="205" spans="1:8" x14ac:dyDescent="0.25">
      <c r="A205" s="1">
        <v>7</v>
      </c>
      <c r="B205" s="1">
        <f>IF(H205=1,MAX(21-A205,0),0)</f>
        <v>0</v>
      </c>
      <c r="C205" s="1"/>
      <c r="D205" s="1"/>
      <c r="E205" s="3"/>
      <c r="F205" s="32"/>
      <c r="G205" s="1" t="s">
        <v>399</v>
      </c>
      <c r="H205" s="24">
        <f>COUNTIF(ValidTeams[],E205)</f>
        <v>0</v>
      </c>
    </row>
    <row r="206" spans="1:8" x14ac:dyDescent="0.25">
      <c r="A206" s="1">
        <v>8</v>
      </c>
      <c r="B206" s="1">
        <f>IF(H206=1,MAX(21-A206,0),0)</f>
        <v>0</v>
      </c>
      <c r="C206" s="1"/>
      <c r="D206" s="1"/>
      <c r="E206" s="3"/>
      <c r="F206" s="32"/>
      <c r="G206" s="1" t="s">
        <v>399</v>
      </c>
      <c r="H206" s="24">
        <f>COUNTIF(ValidTeams[],E206)</f>
        <v>0</v>
      </c>
    </row>
    <row r="207" spans="1:8" x14ac:dyDescent="0.25">
      <c r="A207" s="6"/>
      <c r="B207" s="6"/>
      <c r="C207" s="6"/>
      <c r="D207" s="6"/>
      <c r="E207" s="21"/>
      <c r="F207" s="33"/>
      <c r="G207" s="6"/>
      <c r="H207" s="34"/>
    </row>
    <row r="208" spans="1:8" x14ac:dyDescent="0.25">
      <c r="A208" s="4" t="s">
        <v>0</v>
      </c>
      <c r="B208" s="4" t="s">
        <v>73</v>
      </c>
      <c r="C208" s="4" t="s">
        <v>1</v>
      </c>
      <c r="D208" s="4" t="s">
        <v>2</v>
      </c>
      <c r="E208" s="5" t="s">
        <v>3</v>
      </c>
      <c r="F208" s="31" t="s">
        <v>4</v>
      </c>
      <c r="G208" s="4" t="s">
        <v>5</v>
      </c>
      <c r="H208" s="4" t="s">
        <v>72</v>
      </c>
    </row>
    <row r="209" spans="1:8" x14ac:dyDescent="0.25">
      <c r="A209" s="1">
        <v>1</v>
      </c>
      <c r="B209">
        <f t="shared" ref="B209:B221" si="11">IF(H209=1,MAX(21-A209,0),0)</f>
        <v>0</v>
      </c>
      <c r="C209" s="1" t="s">
        <v>1137</v>
      </c>
      <c r="D209" s="1" t="s">
        <v>174</v>
      </c>
      <c r="E209" s="3" t="s">
        <v>1528</v>
      </c>
      <c r="F209" s="32" t="s">
        <v>1529</v>
      </c>
      <c r="G209" s="1" t="s">
        <v>405</v>
      </c>
      <c r="H209" s="6">
        <f>COUNTIF(ValidTeams[],E209)</f>
        <v>0</v>
      </c>
    </row>
    <row r="210" spans="1:8" x14ac:dyDescent="0.25">
      <c r="A210" s="1">
        <v>2</v>
      </c>
      <c r="B210">
        <f t="shared" si="11"/>
        <v>19</v>
      </c>
      <c r="C210" s="1" t="s">
        <v>1530</v>
      </c>
      <c r="D210" s="1" t="s">
        <v>733</v>
      </c>
      <c r="E210" s="3" t="s">
        <v>1531</v>
      </c>
      <c r="F210" s="32" t="s">
        <v>1532</v>
      </c>
      <c r="G210" s="1" t="s">
        <v>405</v>
      </c>
      <c r="H210" s="6">
        <f>COUNTIF(ValidTeams[],E210)</f>
        <v>1</v>
      </c>
    </row>
    <row r="211" spans="1:8" x14ac:dyDescent="0.25">
      <c r="A211" s="1">
        <v>3</v>
      </c>
      <c r="B211">
        <f t="shared" si="11"/>
        <v>18</v>
      </c>
      <c r="C211" s="1" t="s">
        <v>409</v>
      </c>
      <c r="D211" s="1" t="s">
        <v>225</v>
      </c>
      <c r="E211" s="3" t="s">
        <v>88</v>
      </c>
      <c r="F211" s="32" t="s">
        <v>1533</v>
      </c>
      <c r="G211" s="1" t="s">
        <v>405</v>
      </c>
      <c r="H211" s="6">
        <f>COUNTIF(ValidTeams[],E211)</f>
        <v>1</v>
      </c>
    </row>
    <row r="212" spans="1:8" x14ac:dyDescent="0.25">
      <c r="A212" s="1">
        <v>4</v>
      </c>
      <c r="B212">
        <f t="shared" si="11"/>
        <v>0</v>
      </c>
      <c r="C212" s="1" t="s">
        <v>1534</v>
      </c>
      <c r="D212" s="1" t="s">
        <v>69</v>
      </c>
      <c r="E212" s="3" t="s">
        <v>1535</v>
      </c>
      <c r="F212" s="32" t="s">
        <v>1536</v>
      </c>
      <c r="G212" s="1" t="s">
        <v>405</v>
      </c>
      <c r="H212" s="6">
        <f>COUNTIF(ValidTeams[],E212)</f>
        <v>0</v>
      </c>
    </row>
    <row r="213" spans="1:8" x14ac:dyDescent="0.25">
      <c r="A213" s="1">
        <v>5</v>
      </c>
      <c r="B213">
        <f t="shared" si="11"/>
        <v>16</v>
      </c>
      <c r="C213" s="1" t="s">
        <v>411</v>
      </c>
      <c r="D213" s="1" t="s">
        <v>412</v>
      </c>
      <c r="E213" s="3" t="s">
        <v>808</v>
      </c>
      <c r="F213" s="32" t="s">
        <v>1537</v>
      </c>
      <c r="G213" s="1" t="s">
        <v>405</v>
      </c>
      <c r="H213" s="6">
        <f>COUNTIF(ValidTeams[],E213)</f>
        <v>1</v>
      </c>
    </row>
    <row r="214" spans="1:8" x14ac:dyDescent="0.25">
      <c r="A214" s="1">
        <v>6</v>
      </c>
      <c r="B214">
        <f t="shared" si="11"/>
        <v>15</v>
      </c>
      <c r="C214" s="1" t="s">
        <v>415</v>
      </c>
      <c r="D214" s="1" t="s">
        <v>23</v>
      </c>
      <c r="E214" s="3" t="s">
        <v>38</v>
      </c>
      <c r="F214" s="32" t="s">
        <v>1538</v>
      </c>
      <c r="G214" s="1" t="s">
        <v>405</v>
      </c>
      <c r="H214" s="6">
        <f>COUNTIF(ValidTeams[],E214)</f>
        <v>1</v>
      </c>
    </row>
    <row r="215" spans="1:8" x14ac:dyDescent="0.25">
      <c r="A215" s="1">
        <v>7</v>
      </c>
      <c r="B215">
        <f t="shared" si="11"/>
        <v>14</v>
      </c>
      <c r="C215" s="1" t="s">
        <v>383</v>
      </c>
      <c r="D215" s="1" t="s">
        <v>114</v>
      </c>
      <c r="E215" s="3" t="s">
        <v>1531</v>
      </c>
      <c r="F215" s="32" t="s">
        <v>1539</v>
      </c>
      <c r="G215" s="1" t="s">
        <v>405</v>
      </c>
      <c r="H215" s="6">
        <f>COUNTIF(ValidTeams[],E215)</f>
        <v>1</v>
      </c>
    </row>
    <row r="216" spans="1:8" x14ac:dyDescent="0.25">
      <c r="A216" s="1">
        <v>8</v>
      </c>
      <c r="B216" s="1">
        <f t="shared" si="11"/>
        <v>0</v>
      </c>
      <c r="C216" s="1" t="s">
        <v>1541</v>
      </c>
      <c r="D216" s="1" t="s">
        <v>1540</v>
      </c>
      <c r="E216" s="3" t="s">
        <v>1542</v>
      </c>
      <c r="F216" s="32" t="s">
        <v>1543</v>
      </c>
      <c r="G216" s="1" t="s">
        <v>405</v>
      </c>
      <c r="H216" s="24">
        <f>COUNTIF(ValidTeams[],E216)</f>
        <v>0</v>
      </c>
    </row>
    <row r="217" spans="1:8" x14ac:dyDescent="0.25">
      <c r="A217" s="1">
        <v>9</v>
      </c>
      <c r="B217" s="1">
        <f t="shared" si="11"/>
        <v>0</v>
      </c>
      <c r="C217" s="1"/>
      <c r="D217" s="1"/>
      <c r="E217" s="3"/>
      <c r="F217" s="32"/>
      <c r="G217" s="1" t="s">
        <v>405</v>
      </c>
      <c r="H217" s="24">
        <f>COUNTIF(ValidTeams[],E217)</f>
        <v>0</v>
      </c>
    </row>
    <row r="218" spans="1:8" x14ac:dyDescent="0.25">
      <c r="A218" s="1">
        <v>10</v>
      </c>
      <c r="B218" s="1">
        <f t="shared" si="11"/>
        <v>0</v>
      </c>
      <c r="C218" s="1"/>
      <c r="D218" s="1"/>
      <c r="E218" s="3"/>
      <c r="F218" s="32"/>
      <c r="G218" s="1" t="s">
        <v>405</v>
      </c>
      <c r="H218" s="24">
        <f>COUNTIF(ValidTeams[],E218)</f>
        <v>0</v>
      </c>
    </row>
    <row r="219" spans="1:8" x14ac:dyDescent="0.25">
      <c r="A219" s="1">
        <v>11</v>
      </c>
      <c r="B219" s="1">
        <f t="shared" si="11"/>
        <v>0</v>
      </c>
      <c r="C219" s="1"/>
      <c r="D219" s="1"/>
      <c r="E219" s="3"/>
      <c r="F219" s="32"/>
      <c r="G219" s="1" t="s">
        <v>405</v>
      </c>
      <c r="H219" s="24">
        <f>COUNTIF(ValidTeams[],E219)</f>
        <v>0</v>
      </c>
    </row>
    <row r="220" spans="1:8" x14ac:dyDescent="0.25">
      <c r="A220" s="1">
        <v>12</v>
      </c>
      <c r="B220" s="1">
        <f t="shared" si="11"/>
        <v>0</v>
      </c>
      <c r="C220" s="1"/>
      <c r="D220" s="1"/>
      <c r="E220" s="3"/>
      <c r="F220" s="32"/>
      <c r="G220" s="1" t="s">
        <v>405</v>
      </c>
      <c r="H220" s="24">
        <f>COUNTIF(ValidTeams[],E220)</f>
        <v>0</v>
      </c>
    </row>
    <row r="221" spans="1:8" x14ac:dyDescent="0.25">
      <c r="A221" s="1">
        <v>13</v>
      </c>
      <c r="B221" s="1">
        <f t="shared" si="11"/>
        <v>0</v>
      </c>
      <c r="C221" s="1"/>
      <c r="D221" s="1"/>
      <c r="E221" s="3"/>
      <c r="F221" s="32"/>
      <c r="G221" s="1" t="s">
        <v>405</v>
      </c>
      <c r="H221" s="24">
        <f>COUNTIF(ValidTeams[],E221)</f>
        <v>0</v>
      </c>
    </row>
    <row r="222" spans="1:8" x14ac:dyDescent="0.25">
      <c r="A222" s="6"/>
      <c r="B222" s="6"/>
      <c r="C222" s="6"/>
      <c r="D222" s="6"/>
      <c r="E222" s="21"/>
      <c r="F222" s="33"/>
      <c r="G222" s="6"/>
      <c r="H222" s="34"/>
    </row>
    <row r="223" spans="1:8" x14ac:dyDescent="0.25">
      <c r="A223" s="4" t="s">
        <v>0</v>
      </c>
      <c r="B223" s="4" t="s">
        <v>73</v>
      </c>
      <c r="C223" s="4" t="s">
        <v>1</v>
      </c>
      <c r="D223" s="4" t="s">
        <v>2</v>
      </c>
      <c r="E223" s="5" t="s">
        <v>3</v>
      </c>
      <c r="F223" s="31" t="s">
        <v>4</v>
      </c>
      <c r="G223" s="4" t="s">
        <v>5</v>
      </c>
      <c r="H223" s="4" t="s">
        <v>72</v>
      </c>
    </row>
    <row r="224" spans="1:8" x14ac:dyDescent="0.25">
      <c r="A224" s="1">
        <v>1</v>
      </c>
      <c r="B224">
        <f t="shared" ref="B224:B232" si="12">IF(H224=1,MAX(21-A224,0),0)</f>
        <v>0</v>
      </c>
      <c r="C224" s="1" t="s">
        <v>273</v>
      </c>
      <c r="D224" s="1" t="s">
        <v>925</v>
      </c>
      <c r="E224" s="21" t="s">
        <v>926</v>
      </c>
      <c r="F224" s="32" t="s">
        <v>1641</v>
      </c>
      <c r="G224" s="1" t="s">
        <v>426</v>
      </c>
      <c r="H224" s="6">
        <f>COUNTIF(ValidTeams[],E224)</f>
        <v>0</v>
      </c>
    </row>
    <row r="225" spans="1:8" x14ac:dyDescent="0.25">
      <c r="A225" s="1">
        <v>2</v>
      </c>
      <c r="B225">
        <f t="shared" si="12"/>
        <v>19</v>
      </c>
      <c r="C225" s="1" t="s">
        <v>427</v>
      </c>
      <c r="D225" s="1" t="s">
        <v>428</v>
      </c>
      <c r="E225" s="3" t="s">
        <v>1236</v>
      </c>
      <c r="F225" s="32" t="s">
        <v>1642</v>
      </c>
      <c r="G225" s="1" t="s">
        <v>426</v>
      </c>
      <c r="H225" s="6">
        <f>COUNTIF(ValidTeams[],E225)</f>
        <v>1</v>
      </c>
    </row>
    <row r="226" spans="1:8" x14ac:dyDescent="0.25">
      <c r="A226" s="1">
        <v>3</v>
      </c>
      <c r="B226">
        <f t="shared" si="12"/>
        <v>0</v>
      </c>
      <c r="C226" s="1" t="s">
        <v>1643</v>
      </c>
      <c r="D226" s="1" t="s">
        <v>1644</v>
      </c>
      <c r="E226" s="3" t="s">
        <v>1459</v>
      </c>
      <c r="F226" s="32" t="s">
        <v>1645</v>
      </c>
      <c r="G226" s="1" t="s">
        <v>426</v>
      </c>
      <c r="H226" s="6">
        <f>COUNTIF(ValidTeams[],E226)</f>
        <v>0</v>
      </c>
    </row>
    <row r="227" spans="1:8" x14ac:dyDescent="0.25">
      <c r="A227" s="1">
        <v>4</v>
      </c>
      <c r="B227" s="1">
        <f t="shared" si="12"/>
        <v>17</v>
      </c>
      <c r="C227" s="1" t="s">
        <v>1646</v>
      </c>
      <c r="D227" s="1" t="s">
        <v>1647</v>
      </c>
      <c r="E227" s="3" t="s">
        <v>49</v>
      </c>
      <c r="F227" s="32" t="s">
        <v>1648</v>
      </c>
      <c r="G227" s="1" t="s">
        <v>426</v>
      </c>
      <c r="H227" s="24">
        <f>COUNTIF(ValidTeams[],E227)</f>
        <v>1</v>
      </c>
    </row>
    <row r="228" spans="1:8" x14ac:dyDescent="0.25">
      <c r="A228" s="1">
        <v>5</v>
      </c>
      <c r="B228" s="1">
        <f t="shared" si="12"/>
        <v>16</v>
      </c>
      <c r="C228" s="1" t="s">
        <v>935</v>
      </c>
      <c r="D228" s="1" t="s">
        <v>936</v>
      </c>
      <c r="E228" s="3" t="s">
        <v>49</v>
      </c>
      <c r="F228" s="32" t="s">
        <v>1649</v>
      </c>
      <c r="G228" s="1" t="s">
        <v>426</v>
      </c>
      <c r="H228" s="24">
        <f>COUNTIF(ValidTeams[],E228)</f>
        <v>1</v>
      </c>
    </row>
    <row r="229" spans="1:8" x14ac:dyDescent="0.25">
      <c r="A229" s="1">
        <v>6</v>
      </c>
      <c r="B229" s="1">
        <f t="shared" si="12"/>
        <v>0</v>
      </c>
      <c r="C229" s="1" t="s">
        <v>1650</v>
      </c>
      <c r="D229" s="1" t="s">
        <v>1651</v>
      </c>
      <c r="E229" s="3"/>
      <c r="F229" s="32" t="s">
        <v>1652</v>
      </c>
      <c r="G229" s="1" t="s">
        <v>426</v>
      </c>
      <c r="H229" s="24">
        <f>COUNTIF(ValidTeams[],E229)</f>
        <v>0</v>
      </c>
    </row>
    <row r="230" spans="1:8" x14ac:dyDescent="0.25">
      <c r="A230" s="1">
        <v>7</v>
      </c>
      <c r="B230" s="1">
        <f t="shared" si="12"/>
        <v>14</v>
      </c>
      <c r="C230" s="1" t="s">
        <v>430</v>
      </c>
      <c r="D230" s="1" t="s">
        <v>431</v>
      </c>
      <c r="E230" s="3" t="s">
        <v>100</v>
      </c>
      <c r="F230" s="32" t="s">
        <v>1653</v>
      </c>
      <c r="G230" s="1" t="s">
        <v>426</v>
      </c>
      <c r="H230" s="24">
        <f>COUNTIF(ValidTeams[],E230)</f>
        <v>1</v>
      </c>
    </row>
    <row r="231" spans="1:8" x14ac:dyDescent="0.25">
      <c r="A231" s="1">
        <v>8</v>
      </c>
      <c r="B231" s="1">
        <f t="shared" si="12"/>
        <v>13</v>
      </c>
      <c r="C231" s="1" t="s">
        <v>1360</v>
      </c>
      <c r="D231" s="1" t="s">
        <v>1361</v>
      </c>
      <c r="E231" s="3" t="s">
        <v>38</v>
      </c>
      <c r="F231" s="32" t="s">
        <v>1220</v>
      </c>
      <c r="G231" s="1" t="s">
        <v>426</v>
      </c>
      <c r="H231" s="24">
        <f>COUNTIF(ValidTeams[],E231)</f>
        <v>1</v>
      </c>
    </row>
    <row r="232" spans="1:8" x14ac:dyDescent="0.25">
      <c r="A232" s="1">
        <v>9</v>
      </c>
      <c r="B232" s="1">
        <f t="shared" si="12"/>
        <v>0</v>
      </c>
      <c r="C232" s="1"/>
      <c r="D232" s="1"/>
      <c r="E232" s="3"/>
      <c r="F232" s="32"/>
      <c r="G232" s="1" t="s">
        <v>426</v>
      </c>
      <c r="H232" s="24">
        <f>COUNTIF(ValidTeams[],E232)</f>
        <v>0</v>
      </c>
    </row>
    <row r="233" spans="1:8" x14ac:dyDescent="0.25">
      <c r="F233" s="29"/>
    </row>
    <row r="234" spans="1:8" x14ac:dyDescent="0.25">
      <c r="F234" s="29"/>
    </row>
    <row r="235" spans="1:8" x14ac:dyDescent="0.25">
      <c r="F235" s="29"/>
    </row>
    <row r="236" spans="1:8" x14ac:dyDescent="0.25">
      <c r="F236" s="29"/>
    </row>
    <row r="237" spans="1:8" x14ac:dyDescent="0.25">
      <c r="F237" s="29"/>
    </row>
    <row r="238" spans="1:8" x14ac:dyDescent="0.25">
      <c r="F238" s="29"/>
    </row>
    <row r="239" spans="1:8" x14ac:dyDescent="0.25">
      <c r="F239" s="29"/>
    </row>
    <row r="240" spans="1:8" x14ac:dyDescent="0.25">
      <c r="F240" s="29"/>
    </row>
    <row r="241" spans="6:6" x14ac:dyDescent="0.25">
      <c r="F241" s="29"/>
    </row>
    <row r="242" spans="6:6" x14ac:dyDescent="0.25">
      <c r="F242" s="29"/>
    </row>
    <row r="243" spans="6:6" x14ac:dyDescent="0.25">
      <c r="F243" s="29"/>
    </row>
    <row r="244" spans="6:6" x14ac:dyDescent="0.25">
      <c r="F244" s="29"/>
    </row>
    <row r="245" spans="6:6" x14ac:dyDescent="0.25">
      <c r="F245" s="29"/>
    </row>
    <row r="246" spans="6:6" x14ac:dyDescent="0.25">
      <c r="F246" s="29"/>
    </row>
    <row r="247" spans="6:6" x14ac:dyDescent="0.25">
      <c r="F247" s="29"/>
    </row>
    <row r="248" spans="6:6" x14ac:dyDescent="0.25">
      <c r="F248" s="29"/>
    </row>
    <row r="249" spans="6:6" x14ac:dyDescent="0.25">
      <c r="F249" s="29"/>
    </row>
    <row r="250" spans="6:6" x14ac:dyDescent="0.25">
      <c r="F250" s="29"/>
    </row>
    <row r="251" spans="6:6" x14ac:dyDescent="0.25">
      <c r="F251" s="29"/>
    </row>
    <row r="252" spans="6:6" x14ac:dyDescent="0.25">
      <c r="F252" s="29"/>
    </row>
    <row r="253" spans="6:6" x14ac:dyDescent="0.25">
      <c r="F253" s="29"/>
    </row>
    <row r="254" spans="6:6" x14ac:dyDescent="0.25">
      <c r="F254" s="29"/>
    </row>
    <row r="255" spans="6:6" x14ac:dyDescent="0.25">
      <c r="F255" s="29"/>
    </row>
    <row r="256" spans="6:6" x14ac:dyDescent="0.25">
      <c r="F256" s="29"/>
    </row>
    <row r="257" spans="6:6" x14ac:dyDescent="0.25">
      <c r="F257" s="29"/>
    </row>
    <row r="258" spans="6:6" x14ac:dyDescent="0.25">
      <c r="F258" s="29"/>
    </row>
    <row r="259" spans="6:6" x14ac:dyDescent="0.25">
      <c r="F259" s="29"/>
    </row>
    <row r="260" spans="6:6" x14ac:dyDescent="0.25">
      <c r="F260" s="29"/>
    </row>
    <row r="261" spans="6:6" x14ac:dyDescent="0.25">
      <c r="F261" s="29"/>
    </row>
    <row r="262" spans="6:6" x14ac:dyDescent="0.25">
      <c r="F262" s="29"/>
    </row>
    <row r="263" spans="6:6" x14ac:dyDescent="0.25">
      <c r="F263" s="29"/>
    </row>
    <row r="264" spans="6:6" x14ac:dyDescent="0.25">
      <c r="F264" s="29"/>
    </row>
    <row r="265" spans="6:6" x14ac:dyDescent="0.25">
      <c r="F265" s="29"/>
    </row>
    <row r="266" spans="6:6" x14ac:dyDescent="0.25">
      <c r="F266" s="29"/>
    </row>
    <row r="267" spans="6:6" x14ac:dyDescent="0.25">
      <c r="F267" s="29"/>
    </row>
    <row r="268" spans="6:6" x14ac:dyDescent="0.25">
      <c r="F268" s="29"/>
    </row>
    <row r="269" spans="6:6" x14ac:dyDescent="0.25">
      <c r="F269" s="29"/>
    </row>
    <row r="270" spans="6:6" x14ac:dyDescent="0.25">
      <c r="F270" s="29"/>
    </row>
    <row r="271" spans="6:6" x14ac:dyDescent="0.25">
      <c r="F271" s="29"/>
    </row>
    <row r="272" spans="6:6" x14ac:dyDescent="0.25">
      <c r="F272" s="29"/>
    </row>
    <row r="273" spans="6:6" x14ac:dyDescent="0.25">
      <c r="F273" s="29"/>
    </row>
    <row r="274" spans="6:6" x14ac:dyDescent="0.25">
      <c r="F274" s="29"/>
    </row>
    <row r="275" spans="6:6" x14ac:dyDescent="0.25">
      <c r="F275" s="29"/>
    </row>
    <row r="276" spans="6:6" x14ac:dyDescent="0.25">
      <c r="F276" s="29"/>
    </row>
    <row r="277" spans="6:6" x14ac:dyDescent="0.25">
      <c r="F277" s="29"/>
    </row>
    <row r="278" spans="6:6" x14ac:dyDescent="0.25">
      <c r="F278" s="29"/>
    </row>
    <row r="279" spans="6:6" x14ac:dyDescent="0.25">
      <c r="F279" s="29"/>
    </row>
    <row r="280" spans="6:6" x14ac:dyDescent="0.25">
      <c r="F280" s="29"/>
    </row>
    <row r="281" spans="6:6" x14ac:dyDescent="0.25">
      <c r="F281" s="29"/>
    </row>
    <row r="282" spans="6:6" x14ac:dyDescent="0.25">
      <c r="F282" s="29"/>
    </row>
    <row r="283" spans="6:6" x14ac:dyDescent="0.25">
      <c r="F283" s="29"/>
    </row>
    <row r="284" spans="6:6" x14ac:dyDescent="0.25">
      <c r="F284" s="29"/>
    </row>
    <row r="285" spans="6:6" x14ac:dyDescent="0.25">
      <c r="F285" s="29"/>
    </row>
    <row r="286" spans="6:6" x14ac:dyDescent="0.25">
      <c r="F286" s="29"/>
    </row>
    <row r="287" spans="6:6" x14ac:dyDescent="0.25">
      <c r="F287" s="29"/>
    </row>
    <row r="288" spans="6:6" x14ac:dyDescent="0.25">
      <c r="F288" s="29"/>
    </row>
    <row r="289" spans="6:6" x14ac:dyDescent="0.25">
      <c r="F289" s="29"/>
    </row>
    <row r="290" spans="6:6" x14ac:dyDescent="0.25">
      <c r="F290" s="29"/>
    </row>
    <row r="291" spans="6:6" x14ac:dyDescent="0.25">
      <c r="F291" s="29"/>
    </row>
    <row r="292" spans="6:6" x14ac:dyDescent="0.25">
      <c r="F292" s="29"/>
    </row>
    <row r="293" spans="6:6" x14ac:dyDescent="0.25">
      <c r="F293" s="29"/>
    </row>
    <row r="294" spans="6:6" x14ac:dyDescent="0.25">
      <c r="F294" s="29"/>
    </row>
    <row r="295" spans="6:6" x14ac:dyDescent="0.25">
      <c r="F295" s="29"/>
    </row>
    <row r="296" spans="6:6" x14ac:dyDescent="0.25">
      <c r="F296" s="29"/>
    </row>
    <row r="297" spans="6:6" x14ac:dyDescent="0.25">
      <c r="F297" s="29"/>
    </row>
    <row r="298" spans="6:6" x14ac:dyDescent="0.25">
      <c r="F298" s="29"/>
    </row>
    <row r="299" spans="6:6" x14ac:dyDescent="0.25">
      <c r="F299" s="29"/>
    </row>
    <row r="300" spans="6:6" x14ac:dyDescent="0.25">
      <c r="F300" s="29"/>
    </row>
    <row r="301" spans="6:6" x14ac:dyDescent="0.25">
      <c r="F301" s="29"/>
    </row>
    <row r="302" spans="6:6" x14ac:dyDescent="0.25">
      <c r="F302" s="29"/>
    </row>
    <row r="303" spans="6:6" x14ac:dyDescent="0.25">
      <c r="F303" s="29"/>
    </row>
    <row r="304" spans="6:6" x14ac:dyDescent="0.25">
      <c r="F304" s="29"/>
    </row>
    <row r="305" spans="6:6" x14ac:dyDescent="0.25">
      <c r="F305" s="29"/>
    </row>
    <row r="306" spans="6:6" x14ac:dyDescent="0.25">
      <c r="F306" s="29"/>
    </row>
    <row r="307" spans="6:6" x14ac:dyDescent="0.25">
      <c r="F307" s="29"/>
    </row>
    <row r="308" spans="6:6" x14ac:dyDescent="0.25">
      <c r="F308" s="29"/>
    </row>
    <row r="309" spans="6:6" x14ac:dyDescent="0.25">
      <c r="F309" s="29"/>
    </row>
    <row r="310" spans="6:6" x14ac:dyDescent="0.25">
      <c r="F310" s="29"/>
    </row>
    <row r="311" spans="6:6" x14ac:dyDescent="0.25">
      <c r="F311" s="29"/>
    </row>
    <row r="312" spans="6:6" x14ac:dyDescent="0.25">
      <c r="F312" s="29"/>
    </row>
    <row r="313" spans="6:6" x14ac:dyDescent="0.25">
      <c r="F313" s="29"/>
    </row>
    <row r="314" spans="6:6" x14ac:dyDescent="0.25">
      <c r="F314" s="29"/>
    </row>
  </sheetData>
  <conditionalFormatting sqref="H1:H1048576">
    <cfRule type="cellIs" dxfId="726" priority="2" operator="lessThan">
      <formula>1</formula>
    </cfRule>
  </conditionalFormatting>
  <conditionalFormatting sqref="E193">
    <cfRule type="expression" dxfId="725" priority="1">
      <formula>"COUNTIF(K3:K47,E4)&lt;1"</formula>
    </cfRule>
  </conditionalFormatting>
  <pageMargins left="0.7" right="0.7" top="0.75" bottom="0.75" header="0.3" footer="0.3"/>
  <pageSetup scale="89" fitToHeight="0" orientation="landscape" horizontalDpi="4294967293" r:id="rId1"/>
  <tableParts count="1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67C0-4608-46CF-BCE4-EE5BAFF7FCD0}">
  <sheetPr codeName="Sheet11">
    <pageSetUpPr fitToPage="1"/>
  </sheetPr>
  <dimension ref="A1:H300"/>
  <sheetViews>
    <sheetView topLeftCell="A178" zoomScaleNormal="100" workbookViewId="0">
      <selection activeCell="E217" sqref="E217"/>
    </sheetView>
  </sheetViews>
  <sheetFormatPr defaultRowHeight="15" x14ac:dyDescent="0.25"/>
  <cols>
    <col min="2" max="2" width="17" customWidth="1"/>
    <col min="3" max="3" width="14.85546875" customWidth="1"/>
    <col min="4" max="4" width="12.28515625" customWidth="1"/>
    <col min="5" max="5" width="37.5703125" style="2" customWidth="1"/>
    <col min="6" max="6" width="15.140625" style="30" customWidth="1"/>
    <col min="7" max="7" width="21.140625" customWidth="1"/>
    <col min="10" max="10" width="12.7109375" customWidth="1"/>
    <col min="11" max="11" width="42.7109375" bestFit="1" customWidth="1"/>
    <col min="14" max="14" width="8.42578125" bestFit="1" customWidth="1"/>
  </cols>
  <sheetData>
    <row r="1" spans="1:8" x14ac:dyDescent="0.25">
      <c r="A1" t="s">
        <v>0</v>
      </c>
      <c r="B1" t="s">
        <v>73</v>
      </c>
      <c r="C1" t="s">
        <v>1</v>
      </c>
      <c r="D1" t="s">
        <v>2</v>
      </c>
      <c r="E1" t="s">
        <v>3</v>
      </c>
      <c r="F1" s="29" t="s">
        <v>4</v>
      </c>
      <c r="G1" t="s">
        <v>5</v>
      </c>
      <c r="H1" t="s">
        <v>458</v>
      </c>
    </row>
    <row r="2" spans="1:8" x14ac:dyDescent="0.25">
      <c r="A2">
        <v>1</v>
      </c>
      <c r="B2">
        <f t="shared" ref="B2:B20" si="0">IF(H2=1,MAX(21-A2,0),0)</f>
        <v>20</v>
      </c>
      <c r="C2" s="1" t="s">
        <v>1785</v>
      </c>
      <c r="D2" s="1" t="s">
        <v>318</v>
      </c>
      <c r="E2" s="37" t="s">
        <v>222</v>
      </c>
      <c r="F2" s="40">
        <v>3.6904976851851852E-2</v>
      </c>
      <c r="G2" t="s">
        <v>9</v>
      </c>
      <c r="H2">
        <f>COUNTIF(ValidTeams[],E2)</f>
        <v>1</v>
      </c>
    </row>
    <row r="3" spans="1:8" x14ac:dyDescent="0.25">
      <c r="A3">
        <v>2</v>
      </c>
      <c r="B3">
        <f t="shared" si="0"/>
        <v>19</v>
      </c>
      <c r="C3" s="35" t="s">
        <v>1786</v>
      </c>
      <c r="D3" s="35" t="s">
        <v>412</v>
      </c>
      <c r="E3" s="36" t="s">
        <v>459</v>
      </c>
      <c r="F3" s="41">
        <v>3.8476273148148145E-2</v>
      </c>
      <c r="G3" t="s">
        <v>9</v>
      </c>
      <c r="H3">
        <f>COUNTIF(ValidTeams[],E3)</f>
        <v>1</v>
      </c>
    </row>
    <row r="4" spans="1:8" x14ac:dyDescent="0.25">
      <c r="A4">
        <v>3</v>
      </c>
      <c r="B4">
        <f t="shared" si="0"/>
        <v>18</v>
      </c>
      <c r="C4" s="35" t="s">
        <v>1787</v>
      </c>
      <c r="D4" s="35" t="s">
        <v>7</v>
      </c>
      <c r="E4" s="36" t="s">
        <v>34</v>
      </c>
      <c r="F4" s="41">
        <v>3.9283449074074078E-2</v>
      </c>
      <c r="G4" t="s">
        <v>9</v>
      </c>
      <c r="H4">
        <f>COUNTIF(ValidTeams[],E4)</f>
        <v>1</v>
      </c>
    </row>
    <row r="5" spans="1:8" x14ac:dyDescent="0.25">
      <c r="A5">
        <v>4</v>
      </c>
      <c r="B5">
        <f t="shared" si="0"/>
        <v>17</v>
      </c>
      <c r="C5" s="38" t="s">
        <v>1788</v>
      </c>
      <c r="D5" s="38" t="s">
        <v>225</v>
      </c>
      <c r="E5" s="39" t="s">
        <v>88</v>
      </c>
      <c r="F5" s="42">
        <v>3.9309027777777776E-2</v>
      </c>
      <c r="G5" t="s">
        <v>9</v>
      </c>
      <c r="H5">
        <f>COUNTIF(ValidTeams[],E5)</f>
        <v>1</v>
      </c>
    </row>
    <row r="6" spans="1:8" x14ac:dyDescent="0.25">
      <c r="A6">
        <v>5</v>
      </c>
      <c r="B6">
        <f t="shared" si="0"/>
        <v>16</v>
      </c>
      <c r="C6" s="1" t="s">
        <v>1789</v>
      </c>
      <c r="D6" s="1" t="s">
        <v>7</v>
      </c>
      <c r="E6" s="37" t="s">
        <v>8</v>
      </c>
      <c r="F6" s="40">
        <v>3.9371527777777776E-2</v>
      </c>
      <c r="G6" t="s">
        <v>9</v>
      </c>
      <c r="H6">
        <f>COUNTIF(ValidTeams[],E6)</f>
        <v>1</v>
      </c>
    </row>
    <row r="7" spans="1:8" x14ac:dyDescent="0.25">
      <c r="A7">
        <v>6</v>
      </c>
      <c r="B7">
        <f t="shared" si="0"/>
        <v>0</v>
      </c>
      <c r="C7" s="1" t="s">
        <v>1790</v>
      </c>
      <c r="D7" s="1" t="s">
        <v>27</v>
      </c>
      <c r="E7" s="37"/>
      <c r="F7" s="40">
        <v>3.9536111111111112E-2</v>
      </c>
      <c r="G7" t="s">
        <v>9</v>
      </c>
      <c r="H7">
        <f>COUNTIF(ValidTeams[],E7)</f>
        <v>0</v>
      </c>
    </row>
    <row r="8" spans="1:8" x14ac:dyDescent="0.25">
      <c r="A8">
        <v>7</v>
      </c>
      <c r="B8">
        <f t="shared" si="0"/>
        <v>14</v>
      </c>
      <c r="C8" s="1" t="s">
        <v>1791</v>
      </c>
      <c r="D8" s="1" t="s">
        <v>11</v>
      </c>
      <c r="E8" s="37" t="s">
        <v>12</v>
      </c>
      <c r="F8" s="40">
        <v>3.9697337962962966E-2</v>
      </c>
      <c r="G8" t="s">
        <v>9</v>
      </c>
      <c r="H8">
        <f>COUNTIF(ValidTeams[],E8)</f>
        <v>1</v>
      </c>
    </row>
    <row r="9" spans="1:8" x14ac:dyDescent="0.25">
      <c r="A9">
        <v>8</v>
      </c>
      <c r="B9">
        <f t="shared" si="0"/>
        <v>0</v>
      </c>
      <c r="C9" s="1" t="s">
        <v>1792</v>
      </c>
      <c r="D9" s="1" t="s">
        <v>1239</v>
      </c>
      <c r="E9" s="37" t="s">
        <v>1260</v>
      </c>
      <c r="F9" s="40">
        <v>4.0005787037037034E-2</v>
      </c>
      <c r="G9" t="s">
        <v>9</v>
      </c>
      <c r="H9">
        <f>COUNTIF(ValidTeams[],E9)</f>
        <v>0</v>
      </c>
    </row>
    <row r="10" spans="1:8" x14ac:dyDescent="0.25">
      <c r="A10">
        <v>9</v>
      </c>
      <c r="B10">
        <f t="shared" si="0"/>
        <v>0</v>
      </c>
      <c r="C10" s="1" t="s">
        <v>1793</v>
      </c>
      <c r="D10" s="1" t="s">
        <v>983</v>
      </c>
      <c r="E10" s="37" t="s">
        <v>1794</v>
      </c>
      <c r="F10" s="40">
        <v>4.0198032407407401E-2</v>
      </c>
      <c r="G10" t="s">
        <v>9</v>
      </c>
      <c r="H10">
        <f>COUNTIF(ValidTeams[],E10)</f>
        <v>0</v>
      </c>
    </row>
    <row r="11" spans="1:8" x14ac:dyDescent="0.25">
      <c r="A11">
        <v>10</v>
      </c>
      <c r="B11">
        <f t="shared" si="0"/>
        <v>11</v>
      </c>
      <c r="C11" s="35" t="s">
        <v>1795</v>
      </c>
      <c r="D11" s="35" t="s">
        <v>24</v>
      </c>
      <c r="E11" s="36" t="s">
        <v>100</v>
      </c>
      <c r="F11" s="41">
        <v>4.051435185185185E-2</v>
      </c>
      <c r="G11" t="s">
        <v>9</v>
      </c>
      <c r="H11">
        <f>COUNTIF(ValidTeams[],E11)</f>
        <v>1</v>
      </c>
    </row>
    <row r="12" spans="1:8" x14ac:dyDescent="0.25">
      <c r="A12">
        <v>11</v>
      </c>
      <c r="B12">
        <f t="shared" si="0"/>
        <v>10</v>
      </c>
      <c r="C12" s="35" t="s">
        <v>1796</v>
      </c>
      <c r="D12" s="35" t="s">
        <v>187</v>
      </c>
      <c r="E12" s="36" t="s">
        <v>8</v>
      </c>
      <c r="F12" s="41">
        <v>4.0755324074074069E-2</v>
      </c>
      <c r="G12" t="s">
        <v>9</v>
      </c>
      <c r="H12">
        <f>COUNTIF(ValidTeams[],E12)</f>
        <v>1</v>
      </c>
    </row>
    <row r="13" spans="1:8" x14ac:dyDescent="0.25">
      <c r="A13">
        <v>12</v>
      </c>
      <c r="B13" s="23">
        <f t="shared" si="0"/>
        <v>9</v>
      </c>
      <c r="C13" s="35" t="s">
        <v>1797</v>
      </c>
      <c r="D13" s="35" t="s">
        <v>817</v>
      </c>
      <c r="E13" s="36" t="s">
        <v>18</v>
      </c>
      <c r="F13" s="41">
        <v>4.0815856481481484E-2</v>
      </c>
      <c r="G13" t="s">
        <v>9</v>
      </c>
      <c r="H13" s="23">
        <f>COUNTIF(ValidTeams[],E13)</f>
        <v>1</v>
      </c>
    </row>
    <row r="14" spans="1:8" x14ac:dyDescent="0.25">
      <c r="A14">
        <v>13</v>
      </c>
      <c r="B14" s="23">
        <f t="shared" si="0"/>
        <v>8</v>
      </c>
      <c r="C14" t="s">
        <v>1799</v>
      </c>
      <c r="D14" t="s">
        <v>221</v>
      </c>
      <c r="E14" t="s">
        <v>18</v>
      </c>
      <c r="F14" s="43">
        <v>4.1516203703703701E-2</v>
      </c>
      <c r="G14" t="s">
        <v>9</v>
      </c>
      <c r="H14" s="23">
        <f>COUNTIF(ValidTeams[],E14)</f>
        <v>1</v>
      </c>
    </row>
    <row r="15" spans="1:8" x14ac:dyDescent="0.25">
      <c r="A15">
        <v>14</v>
      </c>
      <c r="B15" s="23">
        <f t="shared" si="0"/>
        <v>0</v>
      </c>
      <c r="C15" t="s">
        <v>1800</v>
      </c>
      <c r="D15" t="s">
        <v>793</v>
      </c>
      <c r="E15" t="s">
        <v>1687</v>
      </c>
      <c r="F15" s="43">
        <v>4.1798263888888888E-2</v>
      </c>
      <c r="G15" t="s">
        <v>9</v>
      </c>
      <c r="H15" s="23">
        <f>COUNTIF(ValidTeams[],E15)</f>
        <v>0</v>
      </c>
    </row>
    <row r="16" spans="1:8" x14ac:dyDescent="0.25">
      <c r="A16">
        <v>15</v>
      </c>
      <c r="B16" s="23">
        <f t="shared" si="0"/>
        <v>0</v>
      </c>
      <c r="C16" s="6" t="s">
        <v>1801</v>
      </c>
      <c r="D16" s="6" t="s">
        <v>274</v>
      </c>
      <c r="E16" s="6"/>
      <c r="F16" s="44">
        <v>4.2247453703703704E-2</v>
      </c>
      <c r="G16" t="s">
        <v>9</v>
      </c>
      <c r="H16" s="23">
        <f>COUNTIF(ValidTeams[],E16)</f>
        <v>0</v>
      </c>
    </row>
    <row r="17" spans="1:8" x14ac:dyDescent="0.25">
      <c r="A17">
        <v>16</v>
      </c>
      <c r="B17" s="23">
        <f t="shared" si="0"/>
        <v>5</v>
      </c>
      <c r="C17" t="s">
        <v>1802</v>
      </c>
      <c r="D17" t="s">
        <v>225</v>
      </c>
      <c r="E17" t="s">
        <v>226</v>
      </c>
      <c r="F17" s="43">
        <v>4.2301273148148154E-2</v>
      </c>
      <c r="G17" t="s">
        <v>9</v>
      </c>
      <c r="H17" s="23">
        <f>COUNTIF(ValidTeams[],E17)</f>
        <v>1</v>
      </c>
    </row>
    <row r="18" spans="1:8" x14ac:dyDescent="0.25">
      <c r="A18">
        <v>17</v>
      </c>
      <c r="B18" s="23">
        <f t="shared" si="0"/>
        <v>4</v>
      </c>
      <c r="C18" t="s">
        <v>1803</v>
      </c>
      <c r="D18" t="s">
        <v>128</v>
      </c>
      <c r="E18" t="s">
        <v>38</v>
      </c>
      <c r="F18" s="43">
        <v>4.3769791666666669E-2</v>
      </c>
      <c r="G18" t="s">
        <v>9</v>
      </c>
      <c r="H18" s="23">
        <f>COUNTIF(ValidTeams[],E18)</f>
        <v>1</v>
      </c>
    </row>
    <row r="19" spans="1:8" x14ac:dyDescent="0.25">
      <c r="A19">
        <v>18</v>
      </c>
      <c r="B19" s="23">
        <f t="shared" si="0"/>
        <v>3</v>
      </c>
      <c r="C19" t="s">
        <v>1804</v>
      </c>
      <c r="D19" t="s">
        <v>139</v>
      </c>
      <c r="E19" t="s">
        <v>140</v>
      </c>
      <c r="F19" s="43">
        <v>4.3885763888888894E-2</v>
      </c>
      <c r="G19" t="s">
        <v>9</v>
      </c>
      <c r="H19" s="23">
        <f>COUNTIF(ValidTeams[],E19)</f>
        <v>1</v>
      </c>
    </row>
    <row r="20" spans="1:8" x14ac:dyDescent="0.25">
      <c r="A20">
        <v>19</v>
      </c>
      <c r="B20" s="23">
        <f t="shared" si="0"/>
        <v>0</v>
      </c>
      <c r="C20" s="6" t="s">
        <v>1805</v>
      </c>
      <c r="D20" s="6" t="s">
        <v>1219</v>
      </c>
      <c r="E20" s="6"/>
      <c r="F20" s="44">
        <v>4.4273148148148145E-2</v>
      </c>
      <c r="G20" t="s">
        <v>9</v>
      </c>
      <c r="H20" s="23">
        <f>COUNTIF(ValidTeams[],E20)</f>
        <v>0</v>
      </c>
    </row>
    <row r="21" spans="1:8" x14ac:dyDescent="0.25">
      <c r="A21">
        <v>20</v>
      </c>
      <c r="B21" s="23">
        <f>IF(H21=1,MAX(21-A21,0),0)</f>
        <v>1</v>
      </c>
      <c r="C21" t="s">
        <v>1806</v>
      </c>
      <c r="D21" t="s">
        <v>599</v>
      </c>
      <c r="E21" t="s">
        <v>345</v>
      </c>
      <c r="F21" s="43">
        <v>4.4526504629629628E-2</v>
      </c>
      <c r="G21" t="s">
        <v>9</v>
      </c>
      <c r="H21" s="23">
        <f>COUNTIF(ValidTeams[],E21)</f>
        <v>1</v>
      </c>
    </row>
    <row r="22" spans="1:8" x14ac:dyDescent="0.25">
      <c r="A22">
        <v>21</v>
      </c>
      <c r="B22" s="23">
        <f>IF(H22=1,MAX(21-A22,0),0)</f>
        <v>0</v>
      </c>
      <c r="C22" t="s">
        <v>1807</v>
      </c>
      <c r="D22" t="s">
        <v>199</v>
      </c>
      <c r="E22" t="s">
        <v>200</v>
      </c>
      <c r="F22" s="43">
        <v>4.4846296296296301E-2</v>
      </c>
      <c r="G22" t="s">
        <v>9</v>
      </c>
      <c r="H22" s="23">
        <f>COUNTIF(ValidTeams[],E22)</f>
        <v>0</v>
      </c>
    </row>
    <row r="23" spans="1:8" x14ac:dyDescent="0.25">
      <c r="A23">
        <v>22</v>
      </c>
      <c r="B23" s="23">
        <f>IF(H23=1,MAX(21-A23,0),0)</f>
        <v>0</v>
      </c>
      <c r="C23" t="s">
        <v>1808</v>
      </c>
      <c r="D23" t="s">
        <v>601</v>
      </c>
      <c r="E23" t="s">
        <v>691</v>
      </c>
      <c r="F23" s="43">
        <v>4.5042824074074068E-2</v>
      </c>
      <c r="G23" t="s">
        <v>9</v>
      </c>
      <c r="H23" s="23">
        <f>COUNTIF(ValidTeams[],E23)</f>
        <v>1</v>
      </c>
    </row>
    <row r="24" spans="1:8" x14ac:dyDescent="0.25">
      <c r="A24">
        <v>23</v>
      </c>
      <c r="B24" s="23">
        <f t="shared" ref="B24:B31" si="1">IF(H24=1,MAX(21-A24,0),0)</f>
        <v>0</v>
      </c>
      <c r="C24" s="6" t="s">
        <v>1809</v>
      </c>
      <c r="D24" s="6" t="s">
        <v>281</v>
      </c>
      <c r="E24" s="6" t="s">
        <v>267</v>
      </c>
      <c r="F24" s="44">
        <v>4.5429050925925925E-2</v>
      </c>
      <c r="G24" t="s">
        <v>9</v>
      </c>
      <c r="H24" s="23">
        <f>COUNTIF(ValidTeams[],E24)</f>
        <v>1</v>
      </c>
    </row>
    <row r="25" spans="1:8" x14ac:dyDescent="0.25">
      <c r="A25">
        <v>24</v>
      </c>
      <c r="B25" s="23">
        <f t="shared" si="1"/>
        <v>0</v>
      </c>
      <c r="C25" t="s">
        <v>1810</v>
      </c>
      <c r="D25" t="s">
        <v>1706</v>
      </c>
      <c r="E25" s="21" t="s">
        <v>617</v>
      </c>
      <c r="F25" s="43">
        <v>4.5526736111111112E-2</v>
      </c>
      <c r="G25" t="s">
        <v>9</v>
      </c>
      <c r="H25" s="23">
        <f>COUNTIF(ValidTeams[],E25)</f>
        <v>1</v>
      </c>
    </row>
    <row r="26" spans="1:8" x14ac:dyDescent="0.25">
      <c r="A26">
        <v>25</v>
      </c>
      <c r="B26" s="23">
        <f t="shared" si="1"/>
        <v>0</v>
      </c>
      <c r="C26" s="6" t="s">
        <v>1811</v>
      </c>
      <c r="D26" s="6" t="s">
        <v>278</v>
      </c>
      <c r="E26" s="6" t="s">
        <v>267</v>
      </c>
      <c r="F26" s="44">
        <v>4.5708564814814813E-2</v>
      </c>
      <c r="G26" t="s">
        <v>9</v>
      </c>
      <c r="H26" s="23">
        <f>COUNTIF(ValidTeams[],E26)</f>
        <v>1</v>
      </c>
    </row>
    <row r="27" spans="1:8" x14ac:dyDescent="0.25">
      <c r="A27">
        <v>26</v>
      </c>
      <c r="B27" s="23">
        <f t="shared" si="1"/>
        <v>0</v>
      </c>
      <c r="C27" t="s">
        <v>1812</v>
      </c>
      <c r="D27" t="s">
        <v>23</v>
      </c>
      <c r="E27" t="s">
        <v>44</v>
      </c>
      <c r="F27" s="43">
        <v>4.8129861111111116E-2</v>
      </c>
      <c r="G27" t="s">
        <v>9</v>
      </c>
      <c r="H27" s="23">
        <f>COUNTIF(ValidTeams[],E27)</f>
        <v>1</v>
      </c>
    </row>
    <row r="28" spans="1:8" x14ac:dyDescent="0.25">
      <c r="A28">
        <v>27</v>
      </c>
      <c r="B28" s="23">
        <f t="shared" si="1"/>
        <v>0</v>
      </c>
      <c r="C28" t="s">
        <v>1813</v>
      </c>
      <c r="D28" t="s">
        <v>696</v>
      </c>
      <c r="E28" t="s">
        <v>18</v>
      </c>
      <c r="F28" s="43">
        <v>4.9228240740740746E-2</v>
      </c>
      <c r="G28" t="s">
        <v>9</v>
      </c>
      <c r="H28" s="23">
        <f>COUNTIF(ValidTeams[],E28)</f>
        <v>1</v>
      </c>
    </row>
    <row r="29" spans="1:8" x14ac:dyDescent="0.25">
      <c r="A29">
        <v>28</v>
      </c>
      <c r="B29" s="23">
        <f t="shared" si="1"/>
        <v>0</v>
      </c>
      <c r="C29" t="s">
        <v>1814</v>
      </c>
      <c r="D29" t="s">
        <v>237</v>
      </c>
      <c r="E29" t="s">
        <v>238</v>
      </c>
      <c r="F29" s="43">
        <v>4.9751273148148145E-2</v>
      </c>
      <c r="G29" t="s">
        <v>9</v>
      </c>
      <c r="H29" s="23">
        <f>COUNTIF(ValidTeams[],E29)</f>
        <v>1</v>
      </c>
    </row>
    <row r="30" spans="1:8" x14ac:dyDescent="0.25">
      <c r="A30">
        <v>29</v>
      </c>
      <c r="B30" s="23">
        <f t="shared" si="1"/>
        <v>0</v>
      </c>
      <c r="C30" t="s">
        <v>1815</v>
      </c>
      <c r="D30" t="s">
        <v>23</v>
      </c>
      <c r="E30"/>
      <c r="F30" s="43">
        <v>5.1964699074074076E-2</v>
      </c>
      <c r="G30" t="s">
        <v>9</v>
      </c>
      <c r="H30" s="23">
        <f>COUNTIF(ValidTeams[],E30)</f>
        <v>0</v>
      </c>
    </row>
    <row r="31" spans="1:8" x14ac:dyDescent="0.25">
      <c r="A31">
        <v>30</v>
      </c>
      <c r="B31" s="23">
        <f t="shared" si="1"/>
        <v>0</v>
      </c>
      <c r="C31" s="6" t="s">
        <v>1816</v>
      </c>
      <c r="D31" s="6" t="s">
        <v>1758</v>
      </c>
      <c r="E31" s="21" t="s">
        <v>617</v>
      </c>
      <c r="F31" s="44">
        <v>6.1499768518518516E-2</v>
      </c>
      <c r="G31" t="s">
        <v>9</v>
      </c>
      <c r="H31" s="23">
        <f>COUNTIF(ValidTeams[],E31)</f>
        <v>1</v>
      </c>
    </row>
    <row r="32" spans="1:8" x14ac:dyDescent="0.25">
      <c r="B32" s="23"/>
      <c r="F32" s="29"/>
      <c r="H32" s="23"/>
    </row>
    <row r="33" spans="1:8" x14ac:dyDescent="0.25">
      <c r="A33" t="s">
        <v>0</v>
      </c>
      <c r="B33" t="s">
        <v>73</v>
      </c>
      <c r="C33" t="s">
        <v>1</v>
      </c>
      <c r="D33" t="s">
        <v>2</v>
      </c>
      <c r="E33" t="s">
        <v>3</v>
      </c>
      <c r="F33" s="29" t="s">
        <v>4</v>
      </c>
      <c r="G33" t="s">
        <v>5</v>
      </c>
      <c r="H33" t="s">
        <v>72</v>
      </c>
    </row>
    <row r="34" spans="1:8" x14ac:dyDescent="0.25">
      <c r="A34">
        <v>1</v>
      </c>
      <c r="B34">
        <f t="shared" ref="B34:B45" si="2">IF(H34=1,MAX(21-A34,0),0)</f>
        <v>20</v>
      </c>
      <c r="C34" t="s">
        <v>40</v>
      </c>
      <c r="D34" t="s">
        <v>41</v>
      </c>
      <c r="E34" t="s">
        <v>38</v>
      </c>
      <c r="F34" s="29" t="s">
        <v>1655</v>
      </c>
      <c r="G34" t="s">
        <v>39</v>
      </c>
      <c r="H34">
        <f>COUNTIF(ValidTeams[],E34)</f>
        <v>1</v>
      </c>
    </row>
    <row r="35" spans="1:8" x14ac:dyDescent="0.25">
      <c r="A35">
        <v>2</v>
      </c>
      <c r="B35">
        <f t="shared" si="2"/>
        <v>0</v>
      </c>
      <c r="C35" t="s">
        <v>1629</v>
      </c>
      <c r="D35" t="s">
        <v>1630</v>
      </c>
      <c r="E35"/>
      <c r="F35" s="29" t="s">
        <v>1829</v>
      </c>
      <c r="G35" t="s">
        <v>39</v>
      </c>
      <c r="H35">
        <f>COUNTIF(ValidTeams[],E35)</f>
        <v>0</v>
      </c>
    </row>
    <row r="36" spans="1:8" x14ac:dyDescent="0.25">
      <c r="A36">
        <v>3</v>
      </c>
      <c r="B36">
        <f t="shared" si="2"/>
        <v>18</v>
      </c>
      <c r="C36" t="s">
        <v>42</v>
      </c>
      <c r="D36" t="s">
        <v>43</v>
      </c>
      <c r="E36" t="s">
        <v>44</v>
      </c>
      <c r="F36" s="29" t="s">
        <v>1656</v>
      </c>
      <c r="G36" t="s">
        <v>39</v>
      </c>
      <c r="H36">
        <f>COUNTIF(ValidTeams[],E36)</f>
        <v>1</v>
      </c>
    </row>
    <row r="37" spans="1:8" x14ac:dyDescent="0.25">
      <c r="A37">
        <v>4</v>
      </c>
      <c r="B37">
        <f t="shared" si="2"/>
        <v>0</v>
      </c>
      <c r="F37" s="29"/>
      <c r="G37" t="s">
        <v>39</v>
      </c>
      <c r="H37">
        <f>COUNTIF(ValidTeams[],#REF!)</f>
        <v>0</v>
      </c>
    </row>
    <row r="38" spans="1:8" x14ac:dyDescent="0.25">
      <c r="A38">
        <v>5</v>
      </c>
      <c r="B38">
        <f t="shared" si="2"/>
        <v>0</v>
      </c>
      <c r="E38"/>
      <c r="F38" s="29"/>
      <c r="G38" t="s">
        <v>39</v>
      </c>
      <c r="H38">
        <f>COUNTIF(ValidTeams[],E38)</f>
        <v>0</v>
      </c>
    </row>
    <row r="39" spans="1:8" x14ac:dyDescent="0.25">
      <c r="A39">
        <v>6</v>
      </c>
      <c r="B39">
        <f t="shared" si="2"/>
        <v>0</v>
      </c>
      <c r="E39"/>
      <c r="F39" s="29"/>
      <c r="G39" t="s">
        <v>39</v>
      </c>
      <c r="H39">
        <f>COUNTIF(ValidTeams[],E39)</f>
        <v>0</v>
      </c>
    </row>
    <row r="40" spans="1:8" x14ac:dyDescent="0.25">
      <c r="A40">
        <v>7</v>
      </c>
      <c r="B40">
        <f t="shared" si="2"/>
        <v>0</v>
      </c>
      <c r="E40"/>
      <c r="F40" s="28"/>
      <c r="G40" t="s">
        <v>39</v>
      </c>
      <c r="H40">
        <f>COUNTIF(ValidTeams[],E40)</f>
        <v>0</v>
      </c>
    </row>
    <row r="41" spans="1:8" x14ac:dyDescent="0.25">
      <c r="A41">
        <v>8</v>
      </c>
      <c r="B41">
        <f t="shared" si="2"/>
        <v>0</v>
      </c>
      <c r="E41"/>
      <c r="F41" s="28"/>
      <c r="G41" t="s">
        <v>39</v>
      </c>
      <c r="H41">
        <f>COUNTIF(ValidTeams[],E41)</f>
        <v>0</v>
      </c>
    </row>
    <row r="42" spans="1:8" x14ac:dyDescent="0.25">
      <c r="A42">
        <v>9</v>
      </c>
      <c r="B42">
        <f t="shared" si="2"/>
        <v>0</v>
      </c>
      <c r="E42"/>
      <c r="F42" s="28"/>
      <c r="G42" t="s">
        <v>39</v>
      </c>
      <c r="H42">
        <f>COUNTIF(ValidTeams[],E42)</f>
        <v>0</v>
      </c>
    </row>
    <row r="43" spans="1:8" x14ac:dyDescent="0.25">
      <c r="A43">
        <v>10</v>
      </c>
      <c r="B43">
        <f t="shared" si="2"/>
        <v>0</v>
      </c>
      <c r="E43"/>
      <c r="F43" s="28"/>
      <c r="G43" t="s">
        <v>39</v>
      </c>
      <c r="H43">
        <f>COUNTIF(ValidTeams[],E43)</f>
        <v>0</v>
      </c>
    </row>
    <row r="44" spans="1:8" x14ac:dyDescent="0.25">
      <c r="A44">
        <v>11</v>
      </c>
      <c r="B44" s="23">
        <f t="shared" si="2"/>
        <v>0</v>
      </c>
      <c r="F44" s="29"/>
      <c r="G44" t="s">
        <v>39</v>
      </c>
      <c r="H44" s="23">
        <f>COUNTIF(ValidTeams[],E44)</f>
        <v>0</v>
      </c>
    </row>
    <row r="45" spans="1:8" x14ac:dyDescent="0.25">
      <c r="A45">
        <v>12</v>
      </c>
      <c r="B45" s="23">
        <f t="shared" si="2"/>
        <v>0</v>
      </c>
      <c r="F45" s="29"/>
      <c r="G45" t="s">
        <v>39</v>
      </c>
      <c r="H45" s="23">
        <f>COUNTIF(ValidTeams[],E45)</f>
        <v>0</v>
      </c>
    </row>
    <row r="46" spans="1:8" x14ac:dyDescent="0.25">
      <c r="B46" s="23"/>
      <c r="F46" s="29"/>
      <c r="H46" s="23"/>
    </row>
    <row r="47" spans="1:8" x14ac:dyDescent="0.25">
      <c r="A47" t="s">
        <v>0</v>
      </c>
      <c r="B47" t="s">
        <v>73</v>
      </c>
      <c r="C47" t="s">
        <v>1</v>
      </c>
      <c r="D47" t="s">
        <v>2</v>
      </c>
      <c r="E47" s="2" t="s">
        <v>3</v>
      </c>
      <c r="F47" s="30" t="s">
        <v>4</v>
      </c>
      <c r="G47" t="s">
        <v>5</v>
      </c>
    </row>
    <row r="48" spans="1:8" x14ac:dyDescent="0.25">
      <c r="A48">
        <v>1</v>
      </c>
      <c r="B48">
        <v>20</v>
      </c>
      <c r="C48" t="s">
        <v>1308</v>
      </c>
      <c r="D48" t="s">
        <v>278</v>
      </c>
      <c r="E48" s="2" t="s">
        <v>1657</v>
      </c>
      <c r="F48" s="29" t="s">
        <v>1658</v>
      </c>
      <c r="G48" t="s">
        <v>86</v>
      </c>
    </row>
    <row r="49" spans="1:7" x14ac:dyDescent="0.25">
      <c r="A49">
        <v>2</v>
      </c>
      <c r="B49">
        <v>19</v>
      </c>
      <c r="F49" s="29"/>
      <c r="G49" t="s">
        <v>86</v>
      </c>
    </row>
    <row r="50" spans="1:7" x14ac:dyDescent="0.25">
      <c r="A50">
        <v>3</v>
      </c>
      <c r="B50">
        <v>18</v>
      </c>
      <c r="F50" s="29"/>
      <c r="G50" t="s">
        <v>86</v>
      </c>
    </row>
    <row r="51" spans="1:7" x14ac:dyDescent="0.25">
      <c r="A51">
        <v>4</v>
      </c>
      <c r="B51">
        <v>17</v>
      </c>
      <c r="F51" s="29"/>
      <c r="G51" t="s">
        <v>86</v>
      </c>
    </row>
    <row r="52" spans="1:7" x14ac:dyDescent="0.25">
      <c r="A52">
        <v>5</v>
      </c>
      <c r="B52">
        <v>16</v>
      </c>
      <c r="F52" s="29"/>
      <c r="G52" t="s">
        <v>86</v>
      </c>
    </row>
    <row r="53" spans="1:7" x14ac:dyDescent="0.25">
      <c r="A53">
        <v>6</v>
      </c>
      <c r="B53">
        <v>15</v>
      </c>
      <c r="F53" s="29"/>
      <c r="G53" t="s">
        <v>86</v>
      </c>
    </row>
    <row r="54" spans="1:7" x14ac:dyDescent="0.25">
      <c r="F54" s="29"/>
    </row>
    <row r="55" spans="1:7" x14ac:dyDescent="0.25">
      <c r="A55" s="4" t="s">
        <v>0</v>
      </c>
      <c r="B55" s="4" t="s">
        <v>73</v>
      </c>
      <c r="C55" s="4" t="s">
        <v>1</v>
      </c>
      <c r="D55" s="4" t="s">
        <v>2</v>
      </c>
      <c r="E55" s="5" t="s">
        <v>3</v>
      </c>
      <c r="F55" s="31" t="s">
        <v>4</v>
      </c>
      <c r="G55" s="4" t="s">
        <v>5</v>
      </c>
    </row>
    <row r="56" spans="1:7" x14ac:dyDescent="0.25">
      <c r="A56" s="1">
        <v>1</v>
      </c>
      <c r="B56" s="1">
        <v>20</v>
      </c>
      <c r="C56" s="1" t="s">
        <v>98</v>
      </c>
      <c r="D56" s="1" t="s">
        <v>99</v>
      </c>
      <c r="E56" s="3" t="s">
        <v>100</v>
      </c>
      <c r="F56" s="32" t="s">
        <v>1659</v>
      </c>
      <c r="G56" s="1" t="s">
        <v>101</v>
      </c>
    </row>
    <row r="57" spans="1:7" x14ac:dyDescent="0.25">
      <c r="A57" s="1">
        <v>2</v>
      </c>
      <c r="B57" s="1">
        <v>19</v>
      </c>
      <c r="C57" s="1" t="s">
        <v>102</v>
      </c>
      <c r="D57" s="1" t="s">
        <v>103</v>
      </c>
      <c r="E57" s="3" t="s">
        <v>100</v>
      </c>
      <c r="F57" s="32" t="s">
        <v>1660</v>
      </c>
      <c r="G57" s="1" t="s">
        <v>101</v>
      </c>
    </row>
    <row r="58" spans="1:7" x14ac:dyDescent="0.25">
      <c r="A58" s="1">
        <v>3</v>
      </c>
      <c r="B58" s="1">
        <v>18</v>
      </c>
      <c r="C58" s="1" t="s">
        <v>104</v>
      </c>
      <c r="D58" s="1" t="s">
        <v>105</v>
      </c>
      <c r="E58" s="3" t="s">
        <v>100</v>
      </c>
      <c r="F58" s="32" t="s">
        <v>1661</v>
      </c>
      <c r="G58" s="1" t="s">
        <v>101</v>
      </c>
    </row>
    <row r="59" spans="1:7" x14ac:dyDescent="0.25">
      <c r="A59" s="1">
        <v>4</v>
      </c>
      <c r="B59" s="1">
        <v>17</v>
      </c>
      <c r="C59" s="1" t="s">
        <v>1662</v>
      </c>
      <c r="D59" s="1" t="s">
        <v>14</v>
      </c>
      <c r="E59" s="3" t="s">
        <v>100</v>
      </c>
      <c r="F59" s="32" t="s">
        <v>1663</v>
      </c>
      <c r="G59" s="1" t="s">
        <v>101</v>
      </c>
    </row>
    <row r="60" spans="1:7" x14ac:dyDescent="0.25">
      <c r="A60" s="1">
        <v>5</v>
      </c>
      <c r="B60" s="1">
        <v>16</v>
      </c>
      <c r="C60" s="1"/>
      <c r="D60" s="1"/>
      <c r="E60" s="3"/>
      <c r="F60" s="32"/>
      <c r="G60" s="1" t="s">
        <v>101</v>
      </c>
    </row>
    <row r="61" spans="1:7" x14ac:dyDescent="0.25">
      <c r="A61" s="1">
        <v>6</v>
      </c>
      <c r="B61" s="1">
        <v>15</v>
      </c>
      <c r="C61" s="1"/>
      <c r="D61" s="1"/>
      <c r="E61" s="3"/>
      <c r="F61" s="32"/>
      <c r="G61" s="1" t="s">
        <v>101</v>
      </c>
    </row>
    <row r="62" spans="1:7" x14ac:dyDescent="0.25">
      <c r="A62" s="6"/>
      <c r="B62" s="6"/>
      <c r="C62" s="6"/>
      <c r="D62" s="6"/>
      <c r="E62" s="21"/>
      <c r="F62" s="33"/>
      <c r="G62" s="6"/>
    </row>
    <row r="63" spans="1:7" x14ac:dyDescent="0.25">
      <c r="A63" s="4" t="s">
        <v>0</v>
      </c>
      <c r="B63" s="4" t="s">
        <v>73</v>
      </c>
      <c r="C63" s="4" t="s">
        <v>1</v>
      </c>
      <c r="D63" s="4" t="s">
        <v>2</v>
      </c>
      <c r="E63" s="5" t="s">
        <v>3</v>
      </c>
      <c r="F63" s="31" t="s">
        <v>4</v>
      </c>
      <c r="G63" s="4" t="s">
        <v>5</v>
      </c>
    </row>
    <row r="64" spans="1:7" x14ac:dyDescent="0.25">
      <c r="A64" s="1">
        <v>1</v>
      </c>
      <c r="B64" s="1">
        <v>20</v>
      </c>
      <c r="C64" s="1" t="s">
        <v>106</v>
      </c>
      <c r="D64" s="1" t="s">
        <v>107</v>
      </c>
      <c r="E64" s="3" t="s">
        <v>100</v>
      </c>
      <c r="F64" s="32" t="s">
        <v>1664</v>
      </c>
      <c r="G64" s="1" t="s">
        <v>109</v>
      </c>
    </row>
    <row r="65" spans="1:7" x14ac:dyDescent="0.25">
      <c r="A65" s="1">
        <v>2</v>
      </c>
      <c r="B65" s="1">
        <v>19</v>
      </c>
      <c r="C65" s="1" t="s">
        <v>1365</v>
      </c>
      <c r="D65" s="1" t="s">
        <v>421</v>
      </c>
      <c r="E65" s="3" t="s">
        <v>100</v>
      </c>
      <c r="F65" s="32" t="s">
        <v>1665</v>
      </c>
      <c r="G65" s="1" t="s">
        <v>109</v>
      </c>
    </row>
    <row r="66" spans="1:7" x14ac:dyDescent="0.25">
      <c r="A66" s="1">
        <v>3</v>
      </c>
      <c r="B66" s="1">
        <v>18</v>
      </c>
      <c r="C66" s="1"/>
      <c r="D66" s="1"/>
      <c r="E66" s="3"/>
      <c r="F66" s="32"/>
      <c r="G66" s="1" t="s">
        <v>109</v>
      </c>
    </row>
    <row r="67" spans="1:7" x14ac:dyDescent="0.25">
      <c r="A67" s="6"/>
      <c r="B67" s="6"/>
      <c r="C67" s="6"/>
      <c r="D67" s="6"/>
      <c r="E67" s="21"/>
      <c r="F67" s="33"/>
      <c r="G67" s="6"/>
    </row>
    <row r="68" spans="1:7" x14ac:dyDescent="0.25">
      <c r="A68" s="4" t="s">
        <v>0</v>
      </c>
      <c r="B68" s="4" t="s">
        <v>73</v>
      </c>
      <c r="C68" s="4" t="s">
        <v>1</v>
      </c>
      <c r="D68" s="4" t="s">
        <v>2</v>
      </c>
      <c r="E68" s="5" t="s">
        <v>3</v>
      </c>
      <c r="F68" s="31" t="s">
        <v>4</v>
      </c>
      <c r="G68" s="4" t="s">
        <v>5</v>
      </c>
    </row>
    <row r="69" spans="1:7" x14ac:dyDescent="0.25">
      <c r="A69" s="1">
        <v>1</v>
      </c>
      <c r="B69" s="1">
        <v>20</v>
      </c>
      <c r="C69" s="1" t="s">
        <v>115</v>
      </c>
      <c r="D69" s="1" t="s">
        <v>116</v>
      </c>
      <c r="E69" s="3" t="s">
        <v>100</v>
      </c>
      <c r="F69" s="32" t="s">
        <v>1666</v>
      </c>
      <c r="G69" s="1" t="s">
        <v>112</v>
      </c>
    </row>
    <row r="70" spans="1:7" x14ac:dyDescent="0.25">
      <c r="A70" s="1">
        <v>2</v>
      </c>
      <c r="B70" s="1">
        <v>19</v>
      </c>
      <c r="C70" s="1" t="s">
        <v>104</v>
      </c>
      <c r="D70" s="1" t="s">
        <v>111</v>
      </c>
      <c r="E70" s="3" t="s">
        <v>100</v>
      </c>
      <c r="F70" s="32" t="s">
        <v>1667</v>
      </c>
      <c r="G70" s="1" t="s">
        <v>112</v>
      </c>
    </row>
    <row r="71" spans="1:7" x14ac:dyDescent="0.25">
      <c r="A71" s="1">
        <v>3</v>
      </c>
      <c r="B71" s="1">
        <v>18</v>
      </c>
      <c r="C71" s="1" t="s">
        <v>113</v>
      </c>
      <c r="D71" s="1" t="s">
        <v>114</v>
      </c>
      <c r="E71" s="3"/>
      <c r="F71" s="32" t="s">
        <v>1668</v>
      </c>
      <c r="G71" s="1" t="s">
        <v>112</v>
      </c>
    </row>
    <row r="72" spans="1:7" x14ac:dyDescent="0.25">
      <c r="A72" s="1">
        <v>4</v>
      </c>
      <c r="B72" s="1">
        <v>17</v>
      </c>
      <c r="C72" s="1"/>
      <c r="D72" s="1"/>
      <c r="E72" s="3"/>
      <c r="F72" s="32"/>
      <c r="G72" s="1" t="s">
        <v>112</v>
      </c>
    </row>
    <row r="73" spans="1:7" x14ac:dyDescent="0.25">
      <c r="A73" s="1">
        <v>5</v>
      </c>
      <c r="B73" s="1">
        <v>16</v>
      </c>
      <c r="C73" s="1"/>
      <c r="D73" s="1"/>
      <c r="E73" s="3"/>
      <c r="F73" s="32"/>
      <c r="G73" s="1" t="s">
        <v>112</v>
      </c>
    </row>
    <row r="74" spans="1:7" x14ac:dyDescent="0.25">
      <c r="A74" s="6"/>
      <c r="B74" s="6"/>
      <c r="C74" s="6"/>
      <c r="D74" s="6"/>
      <c r="E74" s="21"/>
      <c r="F74" s="33"/>
      <c r="G74" s="6"/>
    </row>
    <row r="75" spans="1:7" x14ac:dyDescent="0.25">
      <c r="A75" s="4" t="s">
        <v>0</v>
      </c>
      <c r="B75" s="4" t="s">
        <v>73</v>
      </c>
      <c r="C75" s="4" t="s">
        <v>1</v>
      </c>
      <c r="D75" s="4" t="s">
        <v>2</v>
      </c>
      <c r="E75" s="5" t="s">
        <v>3</v>
      </c>
      <c r="F75" s="31" t="s">
        <v>4</v>
      </c>
      <c r="G75" s="4" t="s">
        <v>5</v>
      </c>
    </row>
    <row r="76" spans="1:7" x14ac:dyDescent="0.25">
      <c r="A76" s="1">
        <v>1</v>
      </c>
      <c r="B76" s="1">
        <v>20</v>
      </c>
      <c r="C76" s="1" t="s">
        <v>117</v>
      </c>
      <c r="D76" s="1" t="s">
        <v>118</v>
      </c>
      <c r="E76" s="3" t="s">
        <v>1669</v>
      </c>
      <c r="F76" s="32" t="s">
        <v>1670</v>
      </c>
      <c r="G76" s="1" t="s">
        <v>119</v>
      </c>
    </row>
    <row r="77" spans="1:7" x14ac:dyDescent="0.25">
      <c r="A77" s="1">
        <v>2</v>
      </c>
      <c r="B77" s="1">
        <v>19</v>
      </c>
      <c r="C77" s="1" t="s">
        <v>388</v>
      </c>
      <c r="D77" s="1" t="s">
        <v>1671</v>
      </c>
      <c r="E77" s="3"/>
      <c r="F77" s="32" t="s">
        <v>1672</v>
      </c>
      <c r="G77" s="1" t="s">
        <v>119</v>
      </c>
    </row>
    <row r="78" spans="1:7" x14ac:dyDescent="0.25">
      <c r="A78" s="6"/>
      <c r="B78" s="6"/>
      <c r="C78" s="6"/>
      <c r="D78" s="6"/>
      <c r="E78" s="21"/>
      <c r="F78" s="33"/>
      <c r="G78" s="6"/>
    </row>
    <row r="79" spans="1:7" x14ac:dyDescent="0.25">
      <c r="A79" s="4" t="s">
        <v>0</v>
      </c>
      <c r="B79" s="4" t="s">
        <v>73</v>
      </c>
      <c r="C79" s="4" t="s">
        <v>1</v>
      </c>
      <c r="D79" s="4" t="s">
        <v>2</v>
      </c>
      <c r="E79" s="5" t="s">
        <v>3</v>
      </c>
      <c r="F79" s="31" t="s">
        <v>4</v>
      </c>
      <c r="G79" s="4" t="s">
        <v>5</v>
      </c>
    </row>
    <row r="80" spans="1:7" x14ac:dyDescent="0.25">
      <c r="A80" s="1">
        <v>1</v>
      </c>
      <c r="B80" s="1">
        <v>20</v>
      </c>
      <c r="C80" s="1"/>
      <c r="D80" s="1"/>
      <c r="E80" s="3"/>
      <c r="F80" s="32"/>
      <c r="G80" s="1" t="s">
        <v>121</v>
      </c>
    </row>
    <row r="81" spans="1:8" x14ac:dyDescent="0.25">
      <c r="F81" s="29"/>
    </row>
    <row r="82" spans="1:8" x14ac:dyDescent="0.25">
      <c r="A82" s="4" t="s">
        <v>0</v>
      </c>
      <c r="B82" s="4" t="s">
        <v>73</v>
      </c>
      <c r="C82" s="4" t="s">
        <v>1</v>
      </c>
      <c r="D82" s="4" t="s">
        <v>2</v>
      </c>
      <c r="E82" s="5" t="s">
        <v>3</v>
      </c>
      <c r="F82" s="31" t="s">
        <v>4</v>
      </c>
      <c r="G82" s="4" t="s">
        <v>5</v>
      </c>
      <c r="H82" s="4" t="s">
        <v>72</v>
      </c>
    </row>
    <row r="83" spans="1:8" x14ac:dyDescent="0.25">
      <c r="A83" s="1">
        <v>1</v>
      </c>
      <c r="B83">
        <f t="shared" ref="B83:B87" si="3">IF(H83=1,MAX(21-A83,0),0)</f>
        <v>20</v>
      </c>
      <c r="C83" s="1" t="s">
        <v>613</v>
      </c>
      <c r="D83" s="1" t="s">
        <v>281</v>
      </c>
      <c r="E83" s="3" t="s">
        <v>452</v>
      </c>
      <c r="F83" s="32" t="s">
        <v>1673</v>
      </c>
      <c r="G83" s="1" t="s">
        <v>124</v>
      </c>
      <c r="H83" s="6">
        <f>COUNTIF(ValidTeams[],E83)</f>
        <v>1</v>
      </c>
    </row>
    <row r="84" spans="1:8" x14ac:dyDescent="0.25">
      <c r="A84" s="1">
        <v>2</v>
      </c>
      <c r="B84">
        <f t="shared" si="3"/>
        <v>19</v>
      </c>
      <c r="C84" s="1" t="s">
        <v>6</v>
      </c>
      <c r="D84" s="1" t="s">
        <v>7</v>
      </c>
      <c r="E84" s="3" t="s">
        <v>8</v>
      </c>
      <c r="F84" s="32" t="s">
        <v>1674</v>
      </c>
      <c r="G84" s="1" t="s">
        <v>124</v>
      </c>
      <c r="H84" s="6">
        <f>COUNTIF(ValidTeams[],E84)</f>
        <v>1</v>
      </c>
    </row>
    <row r="85" spans="1:8" x14ac:dyDescent="0.25">
      <c r="A85">
        <v>3</v>
      </c>
      <c r="B85">
        <f t="shared" si="3"/>
        <v>18</v>
      </c>
      <c r="C85" t="s">
        <v>1563</v>
      </c>
      <c r="D85" t="s">
        <v>174</v>
      </c>
      <c r="E85" t="s">
        <v>238</v>
      </c>
      <c r="F85" s="29" t="s">
        <v>1675</v>
      </c>
      <c r="G85" t="s">
        <v>124</v>
      </c>
      <c r="H85">
        <f>COUNTIF(ValidTeams[],E85)</f>
        <v>1</v>
      </c>
    </row>
    <row r="86" spans="1:8" x14ac:dyDescent="0.25">
      <c r="A86">
        <v>4</v>
      </c>
      <c r="B86">
        <f t="shared" si="3"/>
        <v>0</v>
      </c>
      <c r="C86" t="s">
        <v>1259</v>
      </c>
      <c r="D86" t="s">
        <v>1239</v>
      </c>
      <c r="E86" t="s">
        <v>1260</v>
      </c>
      <c r="F86" s="29" t="s">
        <v>1676</v>
      </c>
      <c r="G86" t="s">
        <v>124</v>
      </c>
      <c r="H86">
        <f>COUNTIF(ValidTeams[],E86)</f>
        <v>0</v>
      </c>
    </row>
    <row r="87" spans="1:8" x14ac:dyDescent="0.25">
      <c r="A87">
        <v>5</v>
      </c>
      <c r="B87">
        <f t="shared" si="3"/>
        <v>0</v>
      </c>
      <c r="C87" t="s">
        <v>1677</v>
      </c>
      <c r="D87" t="s">
        <v>1678</v>
      </c>
      <c r="E87" t="s">
        <v>1679</v>
      </c>
      <c r="F87" s="29" t="s">
        <v>1680</v>
      </c>
      <c r="G87" t="s">
        <v>124</v>
      </c>
      <c r="H87">
        <f>COUNTIF(ValidTeams[],E87)</f>
        <v>0</v>
      </c>
    </row>
    <row r="88" spans="1:8" x14ac:dyDescent="0.25">
      <c r="A88" s="1">
        <v>6</v>
      </c>
      <c r="B88" s="24">
        <f>IF(H88=1,MAX(21-A88,0),0)</f>
        <v>15</v>
      </c>
      <c r="C88" s="1" t="s">
        <v>792</v>
      </c>
      <c r="D88" s="1" t="s">
        <v>793</v>
      </c>
      <c r="E88" s="3" t="s">
        <v>12</v>
      </c>
      <c r="F88" s="32" t="s">
        <v>1681</v>
      </c>
      <c r="G88" s="1" t="s">
        <v>124</v>
      </c>
      <c r="H88" s="24">
        <f>COUNTIF(ValidTeams[],E88)</f>
        <v>1</v>
      </c>
    </row>
    <row r="89" spans="1:8" x14ac:dyDescent="0.25">
      <c r="A89" s="1">
        <v>7</v>
      </c>
      <c r="B89" s="24">
        <f>IF(H89=1,MAX(21-A89,0),0)</f>
        <v>0</v>
      </c>
      <c r="C89" s="1"/>
      <c r="D89" s="1"/>
      <c r="E89" s="3"/>
      <c r="F89" s="32"/>
      <c r="G89" s="1" t="s">
        <v>124</v>
      </c>
      <c r="H89" s="24">
        <f>COUNTIF(ValidTeams[],E89)</f>
        <v>0</v>
      </c>
    </row>
    <row r="90" spans="1:8" x14ac:dyDescent="0.25">
      <c r="A90" s="1">
        <v>8</v>
      </c>
      <c r="B90" s="24">
        <f>IF(H90=1,MAX(21-A90,0),0)</f>
        <v>0</v>
      </c>
      <c r="C90" s="1"/>
      <c r="D90" s="1"/>
      <c r="E90" s="3"/>
      <c r="F90" s="32"/>
      <c r="G90" s="1" t="s">
        <v>124</v>
      </c>
      <c r="H90" s="24">
        <f>COUNTIF(ValidTeams[],E90)</f>
        <v>0</v>
      </c>
    </row>
    <row r="91" spans="1:8" x14ac:dyDescent="0.25">
      <c r="A91" s="6"/>
      <c r="B91" s="34"/>
      <c r="C91" s="6"/>
      <c r="D91" s="6"/>
      <c r="E91" s="21"/>
      <c r="F91" s="33"/>
      <c r="G91" s="6"/>
      <c r="H91" s="34"/>
    </row>
    <row r="92" spans="1:8" x14ac:dyDescent="0.25">
      <c r="A92" s="4" t="s">
        <v>0</v>
      </c>
      <c r="B92" s="4" t="s">
        <v>73</v>
      </c>
      <c r="C92" s="4" t="s">
        <v>1</v>
      </c>
      <c r="D92" s="4" t="s">
        <v>2</v>
      </c>
      <c r="E92" s="5" t="s">
        <v>3</v>
      </c>
      <c r="F92" s="31" t="s">
        <v>4</v>
      </c>
      <c r="G92" s="4" t="s">
        <v>5</v>
      </c>
      <c r="H92" s="4" t="s">
        <v>72</v>
      </c>
    </row>
    <row r="93" spans="1:8" x14ac:dyDescent="0.25">
      <c r="A93" s="1">
        <v>1</v>
      </c>
      <c r="B93">
        <f t="shared" ref="B93:B98" si="4">IF(H93=1,MAX(21-A93,0),0)</f>
        <v>20</v>
      </c>
      <c r="C93" s="1" t="s">
        <v>411</v>
      </c>
      <c r="D93" s="1" t="s">
        <v>412</v>
      </c>
      <c r="E93" s="3" t="s">
        <v>413</v>
      </c>
      <c r="F93" s="32" t="s">
        <v>1673</v>
      </c>
      <c r="G93" s="1" t="s">
        <v>135</v>
      </c>
      <c r="H93" s="6">
        <f>COUNTIF(ValidTeams[],E93)</f>
        <v>1</v>
      </c>
    </row>
    <row r="94" spans="1:8" x14ac:dyDescent="0.25">
      <c r="A94" s="1">
        <v>2</v>
      </c>
      <c r="B94">
        <f t="shared" si="4"/>
        <v>19</v>
      </c>
      <c r="C94" s="1" t="s">
        <v>136</v>
      </c>
      <c r="D94" s="1" t="s">
        <v>137</v>
      </c>
      <c r="E94" s="3" t="s">
        <v>138</v>
      </c>
      <c r="F94" s="32" t="s">
        <v>1682</v>
      </c>
      <c r="G94" s="1" t="s">
        <v>135</v>
      </c>
      <c r="H94" s="6">
        <f>COUNTIF(ValidTeams[],E94)</f>
        <v>1</v>
      </c>
    </row>
    <row r="95" spans="1:8" x14ac:dyDescent="0.25">
      <c r="A95" s="1">
        <v>3</v>
      </c>
      <c r="B95">
        <f t="shared" si="4"/>
        <v>18</v>
      </c>
      <c r="C95" s="1" t="s">
        <v>134</v>
      </c>
      <c r="D95" s="1" t="s">
        <v>7</v>
      </c>
      <c r="E95" s="3" t="s">
        <v>34</v>
      </c>
      <c r="F95" s="32" t="s">
        <v>1683</v>
      </c>
      <c r="G95" s="1" t="s">
        <v>135</v>
      </c>
      <c r="H95" s="6">
        <f>COUNTIF(ValidTeams[],E95)</f>
        <v>1</v>
      </c>
    </row>
    <row r="96" spans="1:8" x14ac:dyDescent="0.25">
      <c r="A96" s="1">
        <v>4</v>
      </c>
      <c r="B96">
        <f t="shared" si="4"/>
        <v>17</v>
      </c>
      <c r="C96" s="1" t="s">
        <v>1268</v>
      </c>
      <c r="D96" s="1" t="s">
        <v>1269</v>
      </c>
      <c r="E96" s="3" t="s">
        <v>448</v>
      </c>
      <c r="F96" s="32" t="s">
        <v>1684</v>
      </c>
      <c r="G96" s="1" t="s">
        <v>135</v>
      </c>
      <c r="H96" s="6">
        <f>COUNTIF(ValidTeams[],E96)</f>
        <v>1</v>
      </c>
    </row>
    <row r="97" spans="1:8" x14ac:dyDescent="0.25">
      <c r="A97">
        <v>5</v>
      </c>
      <c r="B97">
        <f t="shared" si="4"/>
        <v>16</v>
      </c>
      <c r="C97" t="s">
        <v>807</v>
      </c>
      <c r="D97" t="s">
        <v>595</v>
      </c>
      <c r="E97" t="s">
        <v>413</v>
      </c>
      <c r="F97" s="29" t="s">
        <v>1685</v>
      </c>
      <c r="G97" t="s">
        <v>135</v>
      </c>
      <c r="H97">
        <f>COUNTIF(ValidTeams[],E97)</f>
        <v>1</v>
      </c>
    </row>
    <row r="98" spans="1:8" x14ac:dyDescent="0.25">
      <c r="A98">
        <v>6</v>
      </c>
      <c r="B98">
        <f t="shared" si="4"/>
        <v>0</v>
      </c>
      <c r="C98" t="s">
        <v>1686</v>
      </c>
      <c r="D98" t="s">
        <v>793</v>
      </c>
      <c r="E98" t="s">
        <v>1687</v>
      </c>
      <c r="F98" s="29" t="s">
        <v>1688</v>
      </c>
      <c r="G98" t="s">
        <v>135</v>
      </c>
      <c r="H98">
        <f>COUNTIF(ValidTeams[],E98)</f>
        <v>0</v>
      </c>
    </row>
    <row r="99" spans="1:8" x14ac:dyDescent="0.25">
      <c r="A99" s="1">
        <v>7</v>
      </c>
      <c r="B99" s="24">
        <f>IF(H99=1,MAX(21-A99,0),0)</f>
        <v>14</v>
      </c>
      <c r="C99" s="1" t="s">
        <v>117</v>
      </c>
      <c r="D99" s="1" t="s">
        <v>139</v>
      </c>
      <c r="E99" s="3" t="s">
        <v>140</v>
      </c>
      <c r="F99" s="32" t="s">
        <v>1689</v>
      </c>
      <c r="G99" s="1" t="s">
        <v>135</v>
      </c>
      <c r="H99" s="24">
        <f>COUNTIF(ValidTeams[],E99)</f>
        <v>1</v>
      </c>
    </row>
    <row r="100" spans="1:8" x14ac:dyDescent="0.25">
      <c r="A100" s="1">
        <v>8</v>
      </c>
      <c r="B100" s="24">
        <f>IF(H100=1,MAX(21-A100,0),0)</f>
        <v>13</v>
      </c>
      <c r="C100" s="1" t="s">
        <v>1504</v>
      </c>
      <c r="D100" s="1" t="s">
        <v>23</v>
      </c>
      <c r="E100" s="3" t="s">
        <v>44</v>
      </c>
      <c r="F100" s="32" t="s">
        <v>1690</v>
      </c>
      <c r="G100" s="1" t="s">
        <v>135</v>
      </c>
      <c r="H100" s="24">
        <f>COUNTIF(ValidTeams[],E100)</f>
        <v>1</v>
      </c>
    </row>
    <row r="101" spans="1:8" x14ac:dyDescent="0.25">
      <c r="A101" s="1">
        <v>9</v>
      </c>
      <c r="B101" s="24">
        <f>IF(H101=1,MAX(21-A101,0),0)</f>
        <v>0</v>
      </c>
      <c r="C101" s="1" t="s">
        <v>1573</v>
      </c>
      <c r="D101" s="1" t="s">
        <v>1574</v>
      </c>
      <c r="E101" s="3" t="s">
        <v>1575</v>
      </c>
      <c r="F101" s="32" t="s">
        <v>1691</v>
      </c>
      <c r="G101" s="1" t="s">
        <v>135</v>
      </c>
      <c r="H101" s="24">
        <f>COUNTIF(ValidTeams[],E101)</f>
        <v>0</v>
      </c>
    </row>
    <row r="102" spans="1:8" x14ac:dyDescent="0.25">
      <c r="A102" s="6"/>
      <c r="B102" s="34"/>
      <c r="C102" s="6"/>
      <c r="D102" s="6"/>
      <c r="E102" s="21"/>
      <c r="F102" s="33"/>
      <c r="G102" s="6"/>
      <c r="H102" s="34"/>
    </row>
    <row r="103" spans="1:8" x14ac:dyDescent="0.25">
      <c r="A103" s="4" t="s">
        <v>0</v>
      </c>
      <c r="B103" s="4" t="s">
        <v>73</v>
      </c>
      <c r="C103" s="4" t="s">
        <v>1</v>
      </c>
      <c r="D103" s="4" t="s">
        <v>2</v>
      </c>
      <c r="E103" s="5" t="s">
        <v>3</v>
      </c>
      <c r="F103" s="31" t="s">
        <v>4</v>
      </c>
      <c r="G103" s="4" t="s">
        <v>5</v>
      </c>
      <c r="H103" s="4" t="s">
        <v>72</v>
      </c>
    </row>
    <row r="104" spans="1:8" x14ac:dyDescent="0.25">
      <c r="A104" s="1">
        <v>1</v>
      </c>
      <c r="B104">
        <f t="shared" ref="B104:B115" si="5">IF(H104=1,MAX(21-A104,0),0)</f>
        <v>0</v>
      </c>
      <c r="C104" s="1" t="s">
        <v>1692</v>
      </c>
      <c r="D104" s="1" t="s">
        <v>1693</v>
      </c>
      <c r="E104" s="3" t="s">
        <v>1694</v>
      </c>
      <c r="F104" s="32" t="s">
        <v>1695</v>
      </c>
      <c r="G104" s="1" t="s">
        <v>178</v>
      </c>
      <c r="H104" s="6">
        <f>COUNTIF(ValidTeams[],E104)</f>
        <v>0</v>
      </c>
    </row>
    <row r="105" spans="1:8" x14ac:dyDescent="0.25">
      <c r="A105" s="1">
        <v>2</v>
      </c>
      <c r="B105">
        <f t="shared" si="5"/>
        <v>19</v>
      </c>
      <c r="C105" s="1" t="s">
        <v>66</v>
      </c>
      <c r="D105" s="1" t="s">
        <v>176</v>
      </c>
      <c r="E105" s="3" t="s">
        <v>442</v>
      </c>
      <c r="F105" s="32" t="s">
        <v>1696</v>
      </c>
      <c r="G105" s="1" t="s">
        <v>178</v>
      </c>
      <c r="H105" s="6">
        <f>COUNTIF(ValidTeams[],E105)</f>
        <v>1</v>
      </c>
    </row>
    <row r="106" spans="1:8" x14ac:dyDescent="0.25">
      <c r="A106" s="1">
        <v>3</v>
      </c>
      <c r="B106">
        <f t="shared" si="5"/>
        <v>18</v>
      </c>
      <c r="C106" s="1" t="s">
        <v>183</v>
      </c>
      <c r="D106" s="1" t="s">
        <v>184</v>
      </c>
      <c r="E106" s="3" t="s">
        <v>100</v>
      </c>
      <c r="F106" s="32" t="s">
        <v>1697</v>
      </c>
      <c r="G106" s="1" t="s">
        <v>178</v>
      </c>
      <c r="H106" s="6">
        <f>COUNTIF(ValidTeams[],E106)</f>
        <v>1</v>
      </c>
    </row>
    <row r="107" spans="1:8" x14ac:dyDescent="0.25">
      <c r="A107" s="1">
        <v>4</v>
      </c>
      <c r="B107">
        <f t="shared" si="5"/>
        <v>17</v>
      </c>
      <c r="C107" s="1" t="s">
        <v>179</v>
      </c>
      <c r="D107" s="1" t="s">
        <v>24</v>
      </c>
      <c r="E107" s="3" t="s">
        <v>100</v>
      </c>
      <c r="F107" s="32" t="s">
        <v>1698</v>
      </c>
      <c r="G107" s="1" t="s">
        <v>178</v>
      </c>
      <c r="H107" s="6">
        <f>COUNTIF(ValidTeams[],E107)</f>
        <v>1</v>
      </c>
    </row>
    <row r="108" spans="1:8" x14ac:dyDescent="0.25">
      <c r="A108" s="1">
        <v>5</v>
      </c>
      <c r="B108">
        <f t="shared" si="5"/>
        <v>16</v>
      </c>
      <c r="C108" s="1" t="s">
        <v>186</v>
      </c>
      <c r="D108" s="1" t="s">
        <v>187</v>
      </c>
      <c r="E108" s="3" t="s">
        <v>8</v>
      </c>
      <c r="F108" s="32" t="s">
        <v>1699</v>
      </c>
      <c r="G108" s="1" t="s">
        <v>178</v>
      </c>
      <c r="H108" s="6">
        <f>COUNTIF(ValidTeams[],E108)</f>
        <v>1</v>
      </c>
    </row>
    <row r="109" spans="1:8" x14ac:dyDescent="0.25">
      <c r="A109" s="1">
        <v>6</v>
      </c>
      <c r="B109">
        <f t="shared" si="5"/>
        <v>15</v>
      </c>
      <c r="C109" s="1" t="s">
        <v>816</v>
      </c>
      <c r="D109" s="1" t="s">
        <v>817</v>
      </c>
      <c r="E109" s="3" t="s">
        <v>18</v>
      </c>
      <c r="F109" s="32" t="s">
        <v>1700</v>
      </c>
      <c r="G109" s="1" t="s">
        <v>178</v>
      </c>
      <c r="H109" s="6">
        <f>COUNTIF(ValidTeams[],E109)</f>
        <v>1</v>
      </c>
    </row>
    <row r="110" spans="1:8" x14ac:dyDescent="0.25">
      <c r="A110" s="1">
        <v>7</v>
      </c>
      <c r="B110">
        <f t="shared" si="5"/>
        <v>14</v>
      </c>
      <c r="C110" s="1" t="s">
        <v>196</v>
      </c>
      <c r="D110" s="1" t="s">
        <v>128</v>
      </c>
      <c r="E110" s="3" t="s">
        <v>38</v>
      </c>
      <c r="F110" s="32" t="s">
        <v>1701</v>
      </c>
      <c r="G110" s="1" t="s">
        <v>178</v>
      </c>
      <c r="H110" s="6">
        <f>COUNTIF(ValidTeams[],E110)</f>
        <v>1</v>
      </c>
    </row>
    <row r="111" spans="1:8" x14ac:dyDescent="0.25">
      <c r="A111" s="1">
        <v>8</v>
      </c>
      <c r="B111">
        <f t="shared" si="5"/>
        <v>13</v>
      </c>
      <c r="C111" s="1" t="s">
        <v>598</v>
      </c>
      <c r="D111" s="1" t="s">
        <v>599</v>
      </c>
      <c r="E111" s="3" t="s">
        <v>345</v>
      </c>
      <c r="F111" s="32" t="s">
        <v>1702</v>
      </c>
      <c r="G111" s="1" t="s">
        <v>178</v>
      </c>
      <c r="H111" s="6">
        <f>COUNTIF(ValidTeams[],E111)</f>
        <v>1</v>
      </c>
    </row>
    <row r="112" spans="1:8" x14ac:dyDescent="0.25">
      <c r="A112" s="1">
        <v>9</v>
      </c>
      <c r="B112">
        <f t="shared" si="5"/>
        <v>0</v>
      </c>
      <c r="C112" s="1" t="s">
        <v>198</v>
      </c>
      <c r="D112" s="1" t="s">
        <v>199</v>
      </c>
      <c r="E112" s="3" t="s">
        <v>200</v>
      </c>
      <c r="F112" s="32" t="s">
        <v>1703</v>
      </c>
      <c r="G112" s="1" t="s">
        <v>178</v>
      </c>
      <c r="H112" s="6">
        <f>COUNTIF(ValidTeams[],E112)</f>
        <v>0</v>
      </c>
    </row>
    <row r="113" spans="1:8" x14ac:dyDescent="0.25">
      <c r="A113" s="1">
        <v>10</v>
      </c>
      <c r="B113">
        <f t="shared" si="5"/>
        <v>11</v>
      </c>
      <c r="C113" s="1" t="s">
        <v>550</v>
      </c>
      <c r="D113" s="1" t="s">
        <v>601</v>
      </c>
      <c r="E113" s="3" t="s">
        <v>691</v>
      </c>
      <c r="F113" s="32" t="s">
        <v>1704</v>
      </c>
      <c r="G113" s="1" t="s">
        <v>178</v>
      </c>
      <c r="H113" s="6">
        <f>COUNTIF(ValidTeams[],E113)</f>
        <v>1</v>
      </c>
    </row>
    <row r="114" spans="1:8" x14ac:dyDescent="0.25">
      <c r="A114" s="1">
        <v>11</v>
      </c>
      <c r="B114">
        <f t="shared" si="5"/>
        <v>10</v>
      </c>
      <c r="C114" s="1" t="s">
        <v>1705</v>
      </c>
      <c r="D114" s="1" t="s">
        <v>1706</v>
      </c>
      <c r="E114" s="3" t="s">
        <v>504</v>
      </c>
      <c r="F114" s="32" t="s">
        <v>1707</v>
      </c>
      <c r="G114" s="1" t="s">
        <v>178</v>
      </c>
      <c r="H114" s="6">
        <f>COUNTIF(ValidTeams[],E114)</f>
        <v>1</v>
      </c>
    </row>
    <row r="115" spans="1:8" x14ac:dyDescent="0.25">
      <c r="A115" s="1">
        <v>12</v>
      </c>
      <c r="B115">
        <f t="shared" si="5"/>
        <v>9</v>
      </c>
      <c r="C115" s="1" t="s">
        <v>1708</v>
      </c>
      <c r="D115" s="1" t="s">
        <v>194</v>
      </c>
      <c r="E115" s="3" t="s">
        <v>44</v>
      </c>
      <c r="F115" s="32" t="s">
        <v>1709</v>
      </c>
      <c r="G115" s="1" t="s">
        <v>178</v>
      </c>
      <c r="H115" s="6">
        <f>COUNTIF(ValidTeams[],E115)</f>
        <v>1</v>
      </c>
    </row>
    <row r="116" spans="1:8" x14ac:dyDescent="0.25">
      <c r="F116" s="29"/>
    </row>
    <row r="117" spans="1:8" x14ac:dyDescent="0.25">
      <c r="A117" s="4" t="s">
        <v>0</v>
      </c>
      <c r="B117" s="4" t="s">
        <v>73</v>
      </c>
      <c r="C117" s="4" t="s">
        <v>1</v>
      </c>
      <c r="D117" s="4" t="s">
        <v>2</v>
      </c>
      <c r="E117" s="5" t="s">
        <v>3</v>
      </c>
      <c r="F117" s="31" t="s">
        <v>4</v>
      </c>
      <c r="G117" s="4" t="s">
        <v>5</v>
      </c>
      <c r="H117" s="4" t="s">
        <v>72</v>
      </c>
    </row>
    <row r="118" spans="1:8" x14ac:dyDescent="0.25">
      <c r="A118" s="1">
        <v>1</v>
      </c>
      <c r="B118">
        <f t="shared" ref="B118:B126" si="6">IF(H118=1,MAX(21-A118,0),0)</f>
        <v>0</v>
      </c>
      <c r="C118" s="1" t="s">
        <v>831</v>
      </c>
      <c r="D118" s="1" t="s">
        <v>176</v>
      </c>
      <c r="E118" s="3" t="s">
        <v>832</v>
      </c>
      <c r="F118" s="32" t="s">
        <v>1710</v>
      </c>
      <c r="G118" s="1" t="s">
        <v>217</v>
      </c>
      <c r="H118" s="6">
        <f>COUNTIF(ValidTeams[],E118)</f>
        <v>0</v>
      </c>
    </row>
    <row r="119" spans="1:8" x14ac:dyDescent="0.25">
      <c r="A119" s="1">
        <v>2</v>
      </c>
      <c r="B119">
        <f t="shared" si="6"/>
        <v>19</v>
      </c>
      <c r="C119" s="1" t="s">
        <v>828</v>
      </c>
      <c r="D119" s="1" t="s">
        <v>829</v>
      </c>
      <c r="E119" s="3" t="s">
        <v>18</v>
      </c>
      <c r="F119" s="32" t="s">
        <v>1711</v>
      </c>
      <c r="G119" s="1" t="s">
        <v>217</v>
      </c>
      <c r="H119" s="6">
        <f>COUNTIF(ValidTeams[],E119)</f>
        <v>1</v>
      </c>
    </row>
    <row r="120" spans="1:8" x14ac:dyDescent="0.25">
      <c r="A120" s="1">
        <v>3</v>
      </c>
      <c r="B120">
        <f t="shared" si="6"/>
        <v>18</v>
      </c>
      <c r="C120" s="1" t="s">
        <v>214</v>
      </c>
      <c r="D120" s="1" t="s">
        <v>215</v>
      </c>
      <c r="E120" s="3" t="s">
        <v>18</v>
      </c>
      <c r="F120" s="32" t="s">
        <v>1712</v>
      </c>
      <c r="G120" s="1" t="s">
        <v>217</v>
      </c>
      <c r="H120" s="6">
        <f>COUNTIF(ValidTeams[],E120)</f>
        <v>1</v>
      </c>
    </row>
    <row r="121" spans="1:8" x14ac:dyDescent="0.25">
      <c r="A121" s="1">
        <v>4</v>
      </c>
      <c r="B121">
        <f t="shared" si="6"/>
        <v>17</v>
      </c>
      <c r="C121" s="1" t="s">
        <v>220</v>
      </c>
      <c r="D121" s="1" t="s">
        <v>221</v>
      </c>
      <c r="E121" s="3" t="s">
        <v>18</v>
      </c>
      <c r="F121" s="32" t="s">
        <v>1714</v>
      </c>
      <c r="G121" s="1" t="s">
        <v>217</v>
      </c>
      <c r="H121" s="6">
        <f>COUNTIF(ValidTeams[],E121)</f>
        <v>1</v>
      </c>
    </row>
    <row r="122" spans="1:8" x14ac:dyDescent="0.25">
      <c r="A122" s="1">
        <v>5</v>
      </c>
      <c r="B122">
        <f t="shared" si="6"/>
        <v>16</v>
      </c>
      <c r="C122" s="1" t="s">
        <v>218</v>
      </c>
      <c r="D122" s="1" t="s">
        <v>114</v>
      </c>
      <c r="E122" s="3" t="s">
        <v>18</v>
      </c>
      <c r="F122" s="32" t="s">
        <v>1715</v>
      </c>
      <c r="G122" s="1" t="s">
        <v>217</v>
      </c>
      <c r="H122" s="6">
        <f>COUNTIF(ValidTeams[],E122)</f>
        <v>1</v>
      </c>
    </row>
    <row r="123" spans="1:8" x14ac:dyDescent="0.25">
      <c r="A123" s="1">
        <v>6</v>
      </c>
      <c r="B123">
        <f t="shared" si="6"/>
        <v>15</v>
      </c>
      <c r="C123" s="1" t="s">
        <v>224</v>
      </c>
      <c r="D123" s="1" t="s">
        <v>225</v>
      </c>
      <c r="E123" s="3" t="s">
        <v>226</v>
      </c>
      <c r="F123" s="32" t="s">
        <v>1716</v>
      </c>
      <c r="G123" s="1" t="s">
        <v>217</v>
      </c>
      <c r="H123" s="6">
        <f>COUNTIF(ValidTeams[],E123)</f>
        <v>1</v>
      </c>
    </row>
    <row r="124" spans="1:8" x14ac:dyDescent="0.25">
      <c r="A124" s="1">
        <v>7</v>
      </c>
      <c r="B124">
        <f t="shared" si="6"/>
        <v>14</v>
      </c>
      <c r="C124" s="1" t="s">
        <v>844</v>
      </c>
      <c r="D124" s="1" t="s">
        <v>696</v>
      </c>
      <c r="E124" s="3" t="s">
        <v>18</v>
      </c>
      <c r="F124" s="32" t="s">
        <v>1717</v>
      </c>
      <c r="G124" s="1" t="s">
        <v>217</v>
      </c>
      <c r="H124" s="6">
        <f>COUNTIF(ValidTeams[],E124)</f>
        <v>1</v>
      </c>
    </row>
    <row r="125" spans="1:8" x14ac:dyDescent="0.25">
      <c r="A125" s="1">
        <v>8</v>
      </c>
      <c r="B125">
        <f t="shared" si="6"/>
        <v>13</v>
      </c>
      <c r="C125" s="1" t="s">
        <v>236</v>
      </c>
      <c r="D125" s="1" t="s">
        <v>237</v>
      </c>
      <c r="E125" s="3" t="s">
        <v>238</v>
      </c>
      <c r="F125" s="32" t="s">
        <v>1718</v>
      </c>
      <c r="G125" s="1" t="s">
        <v>217</v>
      </c>
      <c r="H125" s="6">
        <f>COUNTIF(ValidTeams[],E125)</f>
        <v>1</v>
      </c>
    </row>
    <row r="126" spans="1:8" x14ac:dyDescent="0.25">
      <c r="A126" s="1">
        <v>9</v>
      </c>
      <c r="B126">
        <f t="shared" si="6"/>
        <v>0</v>
      </c>
      <c r="C126" s="1" t="s">
        <v>613</v>
      </c>
      <c r="D126" s="1" t="s">
        <v>23</v>
      </c>
      <c r="E126" s="3"/>
      <c r="F126" s="32" t="s">
        <v>1719</v>
      </c>
      <c r="G126" s="1" t="s">
        <v>217</v>
      </c>
      <c r="H126" s="6">
        <f>COUNTIF(ValidTeams[],E126)</f>
        <v>0</v>
      </c>
    </row>
    <row r="127" spans="1:8" x14ac:dyDescent="0.25">
      <c r="A127" s="1">
        <v>10</v>
      </c>
      <c r="B127" s="24">
        <f>IF(H127=1,MAX(21-A127,0),0)</f>
        <v>11</v>
      </c>
      <c r="C127" s="1" t="s">
        <v>842</v>
      </c>
      <c r="D127" s="1" t="s">
        <v>225</v>
      </c>
      <c r="E127" s="3" t="s">
        <v>504</v>
      </c>
      <c r="F127" s="32" t="s">
        <v>1720</v>
      </c>
      <c r="G127" s="1" t="s">
        <v>217</v>
      </c>
      <c r="H127" s="24">
        <f>COUNTIF(ValidTeams[],E127)</f>
        <v>1</v>
      </c>
    </row>
    <row r="128" spans="1:8" x14ac:dyDescent="0.25">
      <c r="A128" s="1">
        <v>11</v>
      </c>
      <c r="B128" s="24">
        <f>IF(H128=1,MAX(21-A128,0),0)</f>
        <v>0</v>
      </c>
      <c r="C128" s="1"/>
      <c r="D128" s="1"/>
      <c r="E128" s="3"/>
      <c r="F128" s="32"/>
      <c r="G128" s="1" t="s">
        <v>217</v>
      </c>
      <c r="H128" s="24">
        <f>COUNTIF(ValidTeams[],E128)</f>
        <v>0</v>
      </c>
    </row>
    <row r="129" spans="1:8" x14ac:dyDescent="0.25">
      <c r="A129" s="1">
        <v>12</v>
      </c>
      <c r="B129" s="24">
        <f>IF(H129=1,MAX(21-A129,0),0)</f>
        <v>0</v>
      </c>
      <c r="C129" s="1"/>
      <c r="D129" s="1"/>
      <c r="E129" s="3"/>
      <c r="F129" s="32"/>
      <c r="G129" s="1" t="s">
        <v>217</v>
      </c>
      <c r="H129" s="24">
        <f>COUNTIF(ValidTeams[],E129)</f>
        <v>0</v>
      </c>
    </row>
    <row r="130" spans="1:8" x14ac:dyDescent="0.25">
      <c r="A130" s="1">
        <v>13</v>
      </c>
      <c r="B130" s="24">
        <f>IF(H130=1,MAX(21-A130,0),0)</f>
        <v>0</v>
      </c>
      <c r="C130" s="1"/>
      <c r="D130" s="1"/>
      <c r="E130" s="3"/>
      <c r="F130" s="32"/>
      <c r="G130" s="1" t="s">
        <v>217</v>
      </c>
      <c r="H130" s="24">
        <f>COUNTIF(ValidTeams[],E130)</f>
        <v>0</v>
      </c>
    </row>
    <row r="131" spans="1:8" x14ac:dyDescent="0.25">
      <c r="A131" s="6"/>
      <c r="B131" s="34"/>
      <c r="C131" s="6"/>
      <c r="D131" s="6"/>
      <c r="E131" s="21"/>
      <c r="F131" s="33"/>
      <c r="G131" s="6"/>
      <c r="H131" s="34"/>
    </row>
    <row r="132" spans="1:8" x14ac:dyDescent="0.25">
      <c r="A132" s="4" t="s">
        <v>0</v>
      </c>
      <c r="B132" s="4" t="s">
        <v>73</v>
      </c>
      <c r="C132" s="4" t="s">
        <v>1</v>
      </c>
      <c r="D132" s="4" t="s">
        <v>2</v>
      </c>
      <c r="E132" s="5" t="s">
        <v>3</v>
      </c>
      <c r="F132" s="31" t="s">
        <v>4</v>
      </c>
      <c r="G132" s="4" t="s">
        <v>5</v>
      </c>
      <c r="H132" s="4" t="s">
        <v>72</v>
      </c>
    </row>
    <row r="133" spans="1:8" x14ac:dyDescent="0.25">
      <c r="A133" s="1">
        <v>1</v>
      </c>
      <c r="B133">
        <f t="shared" ref="B133:B138" si="7">IF(H133=1,MAX(21-A133,0),0)</f>
        <v>20</v>
      </c>
      <c r="C133" s="1" t="s">
        <v>1817</v>
      </c>
      <c r="D133" s="1" t="s">
        <v>20</v>
      </c>
      <c r="E133" s="37" t="s">
        <v>44</v>
      </c>
      <c r="F133" s="40">
        <v>2.0416087962962962E-2</v>
      </c>
      <c r="G133" s="1" t="s">
        <v>248</v>
      </c>
      <c r="H133" s="6">
        <f>COUNTIF(ValidTeams[],E133)</f>
        <v>1</v>
      </c>
    </row>
    <row r="134" spans="1:8" x14ac:dyDescent="0.25">
      <c r="A134" s="1">
        <v>2</v>
      </c>
      <c r="B134">
        <f t="shared" si="7"/>
        <v>19</v>
      </c>
      <c r="C134" s="1" t="s">
        <v>1818</v>
      </c>
      <c r="D134" s="1" t="s">
        <v>250</v>
      </c>
      <c r="E134" s="37" t="s">
        <v>617</v>
      </c>
      <c r="F134" s="40">
        <v>2.1690856481481485E-2</v>
      </c>
      <c r="G134" s="1" t="s">
        <v>248</v>
      </c>
      <c r="H134" s="6">
        <f>COUNTIF(ValidTeams[],E134)</f>
        <v>1</v>
      </c>
    </row>
    <row r="135" spans="1:8" x14ac:dyDescent="0.25">
      <c r="A135" s="1">
        <v>3</v>
      </c>
      <c r="B135">
        <f t="shared" si="7"/>
        <v>18</v>
      </c>
      <c r="C135" s="1" t="s">
        <v>1819</v>
      </c>
      <c r="D135" s="1" t="s">
        <v>253</v>
      </c>
      <c r="E135" s="37" t="s">
        <v>254</v>
      </c>
      <c r="F135" s="40">
        <v>2.2685069444444442E-2</v>
      </c>
      <c r="G135" s="1" t="s">
        <v>248</v>
      </c>
      <c r="H135" s="6">
        <f>COUNTIF(ValidTeams[],E135)</f>
        <v>1</v>
      </c>
    </row>
    <row r="136" spans="1:8" x14ac:dyDescent="0.25">
      <c r="A136">
        <v>4</v>
      </c>
      <c r="B136">
        <f t="shared" si="7"/>
        <v>17</v>
      </c>
      <c r="C136" s="38" t="s">
        <v>1820</v>
      </c>
      <c r="D136" s="38" t="s">
        <v>278</v>
      </c>
      <c r="E136" s="39" t="s">
        <v>100</v>
      </c>
      <c r="F136" s="42">
        <v>2.3896990740740743E-2</v>
      </c>
      <c r="G136" t="s">
        <v>248</v>
      </c>
      <c r="H136">
        <f>COUNTIF(ValidTeams[],E136)</f>
        <v>1</v>
      </c>
    </row>
    <row r="137" spans="1:8" x14ac:dyDescent="0.25">
      <c r="A137">
        <v>5</v>
      </c>
      <c r="B137">
        <f t="shared" si="7"/>
        <v>16</v>
      </c>
      <c r="C137" s="1" t="s">
        <v>1821</v>
      </c>
      <c r="D137" s="1" t="s">
        <v>257</v>
      </c>
      <c r="E137" s="37" t="s">
        <v>238</v>
      </c>
      <c r="F137" s="40">
        <v>2.3924652777777781E-2</v>
      </c>
      <c r="G137" t="s">
        <v>248</v>
      </c>
      <c r="H137">
        <f>COUNTIF(ValidTeams[],E137)</f>
        <v>1</v>
      </c>
    </row>
    <row r="138" spans="1:8" x14ac:dyDescent="0.25">
      <c r="A138">
        <v>6</v>
      </c>
      <c r="B138">
        <f t="shared" si="7"/>
        <v>0</v>
      </c>
      <c r="C138" s="1" t="s">
        <v>1822</v>
      </c>
      <c r="D138" s="1" t="s">
        <v>861</v>
      </c>
      <c r="E138" s="37" t="s">
        <v>1823</v>
      </c>
      <c r="F138" s="40">
        <v>2.4283217592592592E-2</v>
      </c>
      <c r="G138" t="s">
        <v>248</v>
      </c>
      <c r="H138">
        <f>COUNTIF(ValidTeams[],E138)</f>
        <v>0</v>
      </c>
    </row>
    <row r="139" spans="1:8" x14ac:dyDescent="0.25">
      <c r="A139" s="1">
        <v>7</v>
      </c>
      <c r="B139" s="24">
        <f>IF(H139=1,MAX(21-A139,0),0)</f>
        <v>0</v>
      </c>
      <c r="C139" s="1" t="s">
        <v>1824</v>
      </c>
      <c r="D139" s="1" t="s">
        <v>281</v>
      </c>
      <c r="E139" s="37" t="s">
        <v>1825</v>
      </c>
      <c r="F139" s="40">
        <v>2.5646064814814813E-2</v>
      </c>
      <c r="G139" s="1" t="s">
        <v>248</v>
      </c>
      <c r="H139" s="24">
        <f>COUNTIF(ValidTeams[],E139)</f>
        <v>0</v>
      </c>
    </row>
    <row r="140" spans="1:8" x14ac:dyDescent="0.25">
      <c r="A140" s="1">
        <v>8</v>
      </c>
      <c r="B140" s="24">
        <f>IF(H140=1,MAX(21-A140,0),0)</f>
        <v>0</v>
      </c>
      <c r="C140" s="1" t="s">
        <v>1826</v>
      </c>
      <c r="D140" s="1" t="s">
        <v>263</v>
      </c>
      <c r="E140" s="37"/>
      <c r="F140" s="40">
        <v>2.579155092592593E-2</v>
      </c>
      <c r="G140" s="1" t="s">
        <v>248</v>
      </c>
      <c r="H140" s="24">
        <f>COUNTIF(ValidTeams[],E140)</f>
        <v>0</v>
      </c>
    </row>
    <row r="141" spans="1:8" x14ac:dyDescent="0.25">
      <c r="A141" s="1">
        <v>9</v>
      </c>
      <c r="B141" s="24">
        <f>IF(H141=1,MAX(21-A141,0),0)</f>
        <v>0</v>
      </c>
      <c r="C141" s="1" t="s">
        <v>1827</v>
      </c>
      <c r="D141" s="1" t="s">
        <v>225</v>
      </c>
      <c r="E141" s="37" t="s">
        <v>1828</v>
      </c>
      <c r="F141" s="40">
        <v>2.6039699074074076E-2</v>
      </c>
      <c r="G141" s="1" t="s">
        <v>248</v>
      </c>
      <c r="H141" s="24">
        <f>COUNTIF(ValidTeams[],E141)</f>
        <v>0</v>
      </c>
    </row>
    <row r="142" spans="1:8" x14ac:dyDescent="0.25">
      <c r="A142" s="6"/>
      <c r="B142" s="34"/>
      <c r="C142" s="6"/>
      <c r="D142" s="6"/>
      <c r="E142" s="21"/>
      <c r="F142" s="33"/>
      <c r="G142" s="6"/>
      <c r="H142" s="34"/>
    </row>
    <row r="143" spans="1:8" x14ac:dyDescent="0.25">
      <c r="A143" s="4" t="s">
        <v>0</v>
      </c>
      <c r="B143" s="4" t="s">
        <v>73</v>
      </c>
      <c r="C143" s="4" t="s">
        <v>1</v>
      </c>
      <c r="D143" s="4" t="s">
        <v>2</v>
      </c>
      <c r="E143" s="5" t="s">
        <v>3</v>
      </c>
      <c r="F143" s="31" t="s">
        <v>4</v>
      </c>
      <c r="G143" s="4" t="s">
        <v>5</v>
      </c>
      <c r="H143" s="4" t="s">
        <v>72</v>
      </c>
    </row>
    <row r="144" spans="1:8" x14ac:dyDescent="0.25">
      <c r="A144" s="1">
        <v>1</v>
      </c>
      <c r="B144">
        <f t="shared" ref="B144:B165" si="8">IF(H144=1,MAX(21-A144,0),0)</f>
        <v>20</v>
      </c>
      <c r="C144" s="1" t="s">
        <v>265</v>
      </c>
      <c r="D144" s="1" t="s">
        <v>266</v>
      </c>
      <c r="E144" s="3" t="s">
        <v>267</v>
      </c>
      <c r="F144" s="32" t="s">
        <v>1736</v>
      </c>
      <c r="G144" s="1" t="s">
        <v>269</v>
      </c>
      <c r="H144" s="6">
        <f>COUNTIF(ValidTeams[],E144)</f>
        <v>1</v>
      </c>
    </row>
    <row r="145" spans="1:8" x14ac:dyDescent="0.25">
      <c r="A145" s="1">
        <v>2</v>
      </c>
      <c r="B145">
        <f t="shared" si="8"/>
        <v>19</v>
      </c>
      <c r="C145" s="1" t="s">
        <v>270</v>
      </c>
      <c r="D145" s="1" t="s">
        <v>24</v>
      </c>
      <c r="E145" s="3" t="s">
        <v>271</v>
      </c>
      <c r="F145" s="32" t="s">
        <v>1737</v>
      </c>
      <c r="G145" s="1" t="s">
        <v>269</v>
      </c>
      <c r="H145" s="6">
        <f>COUNTIF(ValidTeams[],E145)</f>
        <v>1</v>
      </c>
    </row>
    <row r="146" spans="1:8" x14ac:dyDescent="0.25">
      <c r="A146" s="1">
        <v>3</v>
      </c>
      <c r="B146">
        <f t="shared" si="8"/>
        <v>18</v>
      </c>
      <c r="C146" s="1" t="s">
        <v>1738</v>
      </c>
      <c r="D146" s="1" t="s">
        <v>1739</v>
      </c>
      <c r="E146" s="3" t="s">
        <v>389</v>
      </c>
      <c r="F146" s="32" t="s">
        <v>1740</v>
      </c>
      <c r="G146" s="1" t="s">
        <v>269</v>
      </c>
      <c r="H146" s="6">
        <f>COUNTIF(ValidTeams[],E146)</f>
        <v>1</v>
      </c>
    </row>
    <row r="147" spans="1:8" x14ac:dyDescent="0.25">
      <c r="A147" s="1">
        <v>4</v>
      </c>
      <c r="B147">
        <f t="shared" si="8"/>
        <v>17</v>
      </c>
      <c r="C147" s="1" t="s">
        <v>625</v>
      </c>
      <c r="D147" s="1" t="s">
        <v>174</v>
      </c>
      <c r="E147" s="3" t="s">
        <v>290</v>
      </c>
      <c r="F147" s="32" t="s">
        <v>1707</v>
      </c>
      <c r="G147" s="1" t="s">
        <v>269</v>
      </c>
      <c r="H147" s="6">
        <f>COUNTIF(ValidTeams[],E147)</f>
        <v>1</v>
      </c>
    </row>
    <row r="148" spans="1:8" x14ac:dyDescent="0.25">
      <c r="A148" s="1">
        <v>5</v>
      </c>
      <c r="B148">
        <f t="shared" si="8"/>
        <v>0</v>
      </c>
      <c r="C148" s="1" t="s">
        <v>1741</v>
      </c>
      <c r="D148" s="1" t="s">
        <v>257</v>
      </c>
      <c r="E148" s="3"/>
      <c r="F148" s="32" t="s">
        <v>1742</v>
      </c>
      <c r="G148" s="1" t="s">
        <v>269</v>
      </c>
      <c r="H148" s="6">
        <f>COUNTIF(ValidTeams[],E148)</f>
        <v>0</v>
      </c>
    </row>
    <row r="149" spans="1:8" x14ac:dyDescent="0.25">
      <c r="A149" s="1">
        <v>6</v>
      </c>
      <c r="B149">
        <f t="shared" si="8"/>
        <v>15</v>
      </c>
      <c r="C149" s="1" t="s">
        <v>309</v>
      </c>
      <c r="D149" s="1" t="s">
        <v>310</v>
      </c>
      <c r="E149" t="s">
        <v>505</v>
      </c>
      <c r="F149" s="32" t="s">
        <v>1743</v>
      </c>
      <c r="G149" s="1" t="s">
        <v>269</v>
      </c>
      <c r="H149" s="6">
        <f>COUNTIF(ValidTeams[],E149)</f>
        <v>1</v>
      </c>
    </row>
    <row r="150" spans="1:8" x14ac:dyDescent="0.25">
      <c r="A150" s="1">
        <v>7</v>
      </c>
      <c r="B150">
        <f t="shared" si="8"/>
        <v>0</v>
      </c>
      <c r="C150" s="1" t="s">
        <v>1744</v>
      </c>
      <c r="D150" s="1" t="s">
        <v>233</v>
      </c>
      <c r="E150" s="3"/>
      <c r="F150" s="32" t="s">
        <v>1745</v>
      </c>
      <c r="G150" s="1" t="s">
        <v>269</v>
      </c>
      <c r="H150" s="6">
        <f>COUNTIF(ValidTeams[],E150)</f>
        <v>0</v>
      </c>
    </row>
    <row r="151" spans="1:8" x14ac:dyDescent="0.25">
      <c r="A151" s="1">
        <v>8</v>
      </c>
      <c r="B151">
        <f t="shared" si="8"/>
        <v>0</v>
      </c>
      <c r="C151" s="1"/>
      <c r="D151" s="1"/>
      <c r="E151" s="3"/>
      <c r="F151" s="32"/>
      <c r="G151" s="1" t="s">
        <v>269</v>
      </c>
      <c r="H151" s="6">
        <f>COUNTIF(ValidTeams[],E151)</f>
        <v>0</v>
      </c>
    </row>
    <row r="152" spans="1:8" x14ac:dyDescent="0.25">
      <c r="A152" s="1">
        <v>9</v>
      </c>
      <c r="B152">
        <f t="shared" si="8"/>
        <v>0</v>
      </c>
      <c r="C152" s="1"/>
      <c r="D152" s="1"/>
      <c r="E152" s="3"/>
      <c r="F152" s="32"/>
      <c r="G152" s="1" t="s">
        <v>269</v>
      </c>
      <c r="H152" s="6">
        <f>COUNTIF(ValidTeams[],E152)</f>
        <v>0</v>
      </c>
    </row>
    <row r="153" spans="1:8" x14ac:dyDescent="0.25">
      <c r="A153" s="1">
        <v>10</v>
      </c>
      <c r="B153">
        <f t="shared" si="8"/>
        <v>0</v>
      </c>
      <c r="C153" s="1"/>
      <c r="D153" s="1"/>
      <c r="E153" s="3"/>
      <c r="F153" s="32"/>
      <c r="G153" s="1" t="s">
        <v>269</v>
      </c>
      <c r="H153" s="6">
        <f>COUNTIF(ValidTeams[],E153)</f>
        <v>0</v>
      </c>
    </row>
    <row r="154" spans="1:8" x14ac:dyDescent="0.25">
      <c r="A154" s="1">
        <v>11</v>
      </c>
      <c r="B154">
        <f t="shared" si="8"/>
        <v>0</v>
      </c>
      <c r="C154" s="1"/>
      <c r="D154" s="1"/>
      <c r="E154" s="3"/>
      <c r="F154" s="32"/>
      <c r="G154" s="1" t="s">
        <v>269</v>
      </c>
      <c r="H154" s="6">
        <f>COUNTIF(ValidTeams[],E154)</f>
        <v>0</v>
      </c>
    </row>
    <row r="155" spans="1:8" x14ac:dyDescent="0.25">
      <c r="A155" s="1">
        <v>12</v>
      </c>
      <c r="B155">
        <f t="shared" si="8"/>
        <v>0</v>
      </c>
      <c r="C155" s="1"/>
      <c r="D155" s="1"/>
      <c r="E155" s="3"/>
      <c r="F155" s="32"/>
      <c r="G155" s="1" t="s">
        <v>269</v>
      </c>
      <c r="H155" s="6">
        <f>COUNTIF(ValidTeams[],E155)</f>
        <v>0</v>
      </c>
    </row>
    <row r="156" spans="1:8" x14ac:dyDescent="0.25">
      <c r="A156" s="1">
        <v>13</v>
      </c>
      <c r="B156">
        <f t="shared" si="8"/>
        <v>0</v>
      </c>
      <c r="C156" s="1"/>
      <c r="D156" s="1"/>
      <c r="E156" s="3"/>
      <c r="F156" s="32"/>
      <c r="G156" s="1" t="s">
        <v>269</v>
      </c>
      <c r="H156" s="6">
        <f>COUNTIF(ValidTeams[],E156)</f>
        <v>0</v>
      </c>
    </row>
    <row r="157" spans="1:8" x14ac:dyDescent="0.25">
      <c r="A157" s="1">
        <v>14</v>
      </c>
      <c r="B157">
        <f t="shared" si="8"/>
        <v>0</v>
      </c>
      <c r="C157" s="1"/>
      <c r="D157" s="1"/>
      <c r="E157" s="3"/>
      <c r="F157" s="32"/>
      <c r="G157" s="1" t="s">
        <v>269</v>
      </c>
      <c r="H157" s="6">
        <f>COUNTIF(ValidTeams[],E157)</f>
        <v>0</v>
      </c>
    </row>
    <row r="158" spans="1:8" x14ac:dyDescent="0.25">
      <c r="A158">
        <v>15</v>
      </c>
      <c r="B158">
        <f t="shared" si="8"/>
        <v>0</v>
      </c>
      <c r="E158"/>
      <c r="F158" s="29"/>
      <c r="G158" t="s">
        <v>269</v>
      </c>
      <c r="H158">
        <f>COUNTIF(ValidTeams[],E158)</f>
        <v>0</v>
      </c>
    </row>
    <row r="159" spans="1:8" x14ac:dyDescent="0.25">
      <c r="A159" s="1">
        <v>16</v>
      </c>
      <c r="B159">
        <f t="shared" si="8"/>
        <v>0</v>
      </c>
      <c r="C159" s="1"/>
      <c r="D159" s="1"/>
      <c r="E159" s="3"/>
      <c r="F159" s="32"/>
      <c r="G159" s="1" t="s">
        <v>269</v>
      </c>
      <c r="H159" s="6">
        <f>COUNTIF(ValidTeams[],E159)</f>
        <v>0</v>
      </c>
    </row>
    <row r="160" spans="1:8" x14ac:dyDescent="0.25">
      <c r="A160" s="1">
        <v>17</v>
      </c>
      <c r="B160">
        <f t="shared" si="8"/>
        <v>0</v>
      </c>
      <c r="C160" s="1"/>
      <c r="D160" s="1"/>
      <c r="E160" s="3"/>
      <c r="F160" s="32"/>
      <c r="G160" s="1" t="s">
        <v>269</v>
      </c>
      <c r="H160" s="6">
        <f>COUNTIF(ValidTeams[],E160)</f>
        <v>0</v>
      </c>
    </row>
    <row r="161" spans="1:8" x14ac:dyDescent="0.25">
      <c r="A161" s="1">
        <v>18</v>
      </c>
      <c r="B161">
        <f t="shared" si="8"/>
        <v>0</v>
      </c>
      <c r="C161" s="1"/>
      <c r="D161" s="1"/>
      <c r="E161" s="3"/>
      <c r="F161" s="32"/>
      <c r="G161" s="1" t="s">
        <v>269</v>
      </c>
      <c r="H161" s="6">
        <f>COUNTIF(ValidTeams[],E161)</f>
        <v>0</v>
      </c>
    </row>
    <row r="162" spans="1:8" x14ac:dyDescent="0.25">
      <c r="A162">
        <v>19</v>
      </c>
      <c r="B162">
        <f t="shared" si="8"/>
        <v>0</v>
      </c>
      <c r="E162"/>
      <c r="F162" s="29"/>
      <c r="G162" t="s">
        <v>269</v>
      </c>
      <c r="H162">
        <f>COUNTIF(ValidTeams[],E162)</f>
        <v>0</v>
      </c>
    </row>
    <row r="163" spans="1:8" x14ac:dyDescent="0.25">
      <c r="A163">
        <v>20</v>
      </c>
      <c r="B163">
        <f t="shared" si="8"/>
        <v>0</v>
      </c>
      <c r="E163"/>
      <c r="F163" s="29"/>
      <c r="G163" t="s">
        <v>269</v>
      </c>
      <c r="H163">
        <f>COUNTIF(ValidTeams[],E163)</f>
        <v>0</v>
      </c>
    </row>
    <row r="164" spans="1:8" x14ac:dyDescent="0.25">
      <c r="A164">
        <v>21</v>
      </c>
      <c r="B164">
        <f t="shared" si="8"/>
        <v>0</v>
      </c>
      <c r="E164"/>
      <c r="F164" s="29"/>
      <c r="G164" t="s">
        <v>269</v>
      </c>
      <c r="H164">
        <f>COUNTIF(ValidTeams[],E164)</f>
        <v>0</v>
      </c>
    </row>
    <row r="165" spans="1:8" x14ac:dyDescent="0.25">
      <c r="A165">
        <v>22</v>
      </c>
      <c r="B165">
        <f t="shared" si="8"/>
        <v>0</v>
      </c>
      <c r="E165"/>
      <c r="F165" s="29"/>
      <c r="G165" t="s">
        <v>269</v>
      </c>
      <c r="H165">
        <f>COUNTIF(ValidTeams[],E165)</f>
        <v>0</v>
      </c>
    </row>
    <row r="166" spans="1:8" x14ac:dyDescent="0.25">
      <c r="F166" s="29"/>
    </row>
    <row r="167" spans="1:8" x14ac:dyDescent="0.25">
      <c r="A167" s="4" t="s">
        <v>0</v>
      </c>
      <c r="B167" s="4" t="s">
        <v>73</v>
      </c>
      <c r="C167" s="4" t="s">
        <v>1</v>
      </c>
      <c r="D167" s="4" t="s">
        <v>2</v>
      </c>
      <c r="E167" s="5" t="s">
        <v>3</v>
      </c>
      <c r="F167" s="31" t="s">
        <v>4</v>
      </c>
      <c r="G167" s="4" t="s">
        <v>5</v>
      </c>
      <c r="H167" s="4" t="s">
        <v>72</v>
      </c>
    </row>
    <row r="168" spans="1:8" x14ac:dyDescent="0.25">
      <c r="A168" s="1">
        <v>1</v>
      </c>
      <c r="B168">
        <f t="shared" ref="B168:B170" si="9">IF(H168=1,MAX(21-A168,0),0)</f>
        <v>20</v>
      </c>
      <c r="C168" s="1" t="s">
        <v>329</v>
      </c>
      <c r="D168" s="1" t="s">
        <v>330</v>
      </c>
      <c r="E168" s="3" t="s">
        <v>441</v>
      </c>
      <c r="F168" s="32" t="s">
        <v>1721</v>
      </c>
      <c r="G168" s="1" t="s">
        <v>331</v>
      </c>
      <c r="H168" s="6">
        <f>COUNTIF(ValidTeams[],E168)</f>
        <v>1</v>
      </c>
    </row>
    <row r="169" spans="1:8" x14ac:dyDescent="0.25">
      <c r="A169" s="1">
        <v>2</v>
      </c>
      <c r="B169">
        <f t="shared" si="9"/>
        <v>19</v>
      </c>
      <c r="C169" s="1" t="s">
        <v>6</v>
      </c>
      <c r="D169" s="1" t="s">
        <v>341</v>
      </c>
      <c r="E169" s="3" t="s">
        <v>8</v>
      </c>
      <c r="F169" s="32" t="s">
        <v>1722</v>
      </c>
      <c r="G169" s="1" t="s">
        <v>331</v>
      </c>
      <c r="H169" s="6">
        <f>COUNTIF(ValidTeams[],E169)</f>
        <v>1</v>
      </c>
    </row>
    <row r="170" spans="1:8" x14ac:dyDescent="0.25">
      <c r="A170" s="1">
        <v>3</v>
      </c>
      <c r="B170">
        <f t="shared" si="9"/>
        <v>18</v>
      </c>
      <c r="C170" s="1" t="s">
        <v>351</v>
      </c>
      <c r="D170" s="1" t="s">
        <v>352</v>
      </c>
      <c r="E170" s="3" t="s">
        <v>38</v>
      </c>
      <c r="F170" s="32" t="s">
        <v>1723</v>
      </c>
      <c r="G170" s="1" t="s">
        <v>331</v>
      </c>
      <c r="H170" s="6">
        <f>COUNTIF(ValidTeams[],E170)</f>
        <v>1</v>
      </c>
    </row>
    <row r="171" spans="1:8" x14ac:dyDescent="0.25">
      <c r="A171" s="6"/>
      <c r="B171" s="6"/>
      <c r="C171" s="6"/>
      <c r="D171" s="6"/>
      <c r="E171" s="21"/>
      <c r="F171" s="33"/>
      <c r="G171" s="6"/>
      <c r="H171" s="34"/>
    </row>
    <row r="172" spans="1:8" x14ac:dyDescent="0.25">
      <c r="A172" s="4" t="s">
        <v>0</v>
      </c>
      <c r="B172" s="4" t="s">
        <v>73</v>
      </c>
      <c r="C172" s="4" t="s">
        <v>1</v>
      </c>
      <c r="D172" s="4" t="s">
        <v>2</v>
      </c>
      <c r="E172" s="5" t="s">
        <v>3</v>
      </c>
      <c r="F172" s="31" t="s">
        <v>4</v>
      </c>
      <c r="G172" s="4" t="s">
        <v>5</v>
      </c>
      <c r="H172" s="4" t="s">
        <v>72</v>
      </c>
    </row>
    <row r="173" spans="1:8" x14ac:dyDescent="0.25">
      <c r="A173" s="1">
        <v>1</v>
      </c>
      <c r="B173">
        <f t="shared" ref="B173:B176" si="10">IF(H173=1,MAX(21-A173,0),0)</f>
        <v>20</v>
      </c>
      <c r="C173" s="6" t="s">
        <v>1746</v>
      </c>
      <c r="D173" s="6" t="s">
        <v>1747</v>
      </c>
      <c r="E173" s="21" t="s">
        <v>447</v>
      </c>
      <c r="F173" s="33" t="s">
        <v>1748</v>
      </c>
      <c r="G173" s="1" t="s">
        <v>363</v>
      </c>
      <c r="H173" s="6">
        <f>COUNTIF(ValidTeams[],E173)</f>
        <v>1</v>
      </c>
    </row>
    <row r="174" spans="1:8" x14ac:dyDescent="0.25">
      <c r="A174" s="1">
        <v>2</v>
      </c>
      <c r="B174">
        <f t="shared" si="10"/>
        <v>19</v>
      </c>
      <c r="C174" s="6" t="s">
        <v>645</v>
      </c>
      <c r="D174" s="6" t="s">
        <v>646</v>
      </c>
      <c r="E174" s="3" t="s">
        <v>345</v>
      </c>
      <c r="F174" s="32" t="s">
        <v>1713</v>
      </c>
      <c r="G174" s="1" t="s">
        <v>363</v>
      </c>
      <c r="H174" s="6">
        <f>COUNTIF(ValidTeams[],E174)</f>
        <v>1</v>
      </c>
    </row>
    <row r="175" spans="1:8" x14ac:dyDescent="0.25">
      <c r="A175" s="1">
        <v>3</v>
      </c>
      <c r="B175">
        <f t="shared" si="10"/>
        <v>18</v>
      </c>
      <c r="C175" s="6" t="s">
        <v>1509</v>
      </c>
      <c r="D175" s="6" t="s">
        <v>1125</v>
      </c>
      <c r="E175" s="3" t="s">
        <v>1510</v>
      </c>
      <c r="F175" s="32" t="s">
        <v>1749</v>
      </c>
      <c r="G175" s="1" t="s">
        <v>363</v>
      </c>
      <c r="H175" s="6">
        <f>COUNTIF(ValidTeams[],E175)</f>
        <v>1</v>
      </c>
    </row>
    <row r="176" spans="1:8" x14ac:dyDescent="0.25">
      <c r="A176" s="1">
        <v>4</v>
      </c>
      <c r="B176">
        <f t="shared" si="10"/>
        <v>17</v>
      </c>
      <c r="C176" s="6" t="s">
        <v>365</v>
      </c>
      <c r="D176" s="6" t="s">
        <v>366</v>
      </c>
      <c r="E176" s="3" t="s">
        <v>222</v>
      </c>
      <c r="F176" s="32" t="s">
        <v>1716</v>
      </c>
      <c r="G176" s="1" t="s">
        <v>363</v>
      </c>
      <c r="H176" s="6">
        <f>COUNTIF(ValidTeams[],E176)</f>
        <v>1</v>
      </c>
    </row>
    <row r="177" spans="1:8" x14ac:dyDescent="0.25">
      <c r="A177" s="1">
        <v>5</v>
      </c>
      <c r="B177" s="1">
        <f t="shared" ref="B177:B182" si="11">IF(H177=1,MAX(21-A177,0),0)</f>
        <v>0</v>
      </c>
      <c r="C177" s="1" t="s">
        <v>989</v>
      </c>
      <c r="D177" s="1" t="s">
        <v>990</v>
      </c>
      <c r="E177" s="3" t="s">
        <v>797</v>
      </c>
      <c r="F177" s="32" t="s">
        <v>1750</v>
      </c>
      <c r="G177" s="1" t="s">
        <v>363</v>
      </c>
      <c r="H177" s="24">
        <f>COUNTIF(ValidTeams[],E177)</f>
        <v>0</v>
      </c>
    </row>
    <row r="178" spans="1:8" x14ac:dyDescent="0.25">
      <c r="A178" s="1">
        <v>6</v>
      </c>
      <c r="B178" s="1">
        <f t="shared" si="11"/>
        <v>15</v>
      </c>
      <c r="C178" s="1" t="s">
        <v>1751</v>
      </c>
      <c r="D178" s="1" t="s">
        <v>11</v>
      </c>
      <c r="E178" s="3" t="s">
        <v>313</v>
      </c>
      <c r="F178" s="32" t="s">
        <v>1752</v>
      </c>
      <c r="G178" s="1" t="s">
        <v>363</v>
      </c>
      <c r="H178" s="24">
        <f>COUNTIF(ValidTeams[],E178)</f>
        <v>1</v>
      </c>
    </row>
    <row r="179" spans="1:8" x14ac:dyDescent="0.25">
      <c r="A179" s="1">
        <v>7</v>
      </c>
      <c r="B179" s="1">
        <f t="shared" si="11"/>
        <v>0</v>
      </c>
      <c r="C179" s="1" t="s">
        <v>1218</v>
      </c>
      <c r="D179" s="1" t="s">
        <v>1219</v>
      </c>
      <c r="E179" s="3"/>
      <c r="F179" s="32" t="s">
        <v>1754</v>
      </c>
      <c r="G179" s="1" t="s">
        <v>363</v>
      </c>
      <c r="H179" s="24">
        <f>COUNTIF(ValidTeams[],E179)</f>
        <v>0</v>
      </c>
    </row>
    <row r="180" spans="1:8" x14ac:dyDescent="0.25">
      <c r="A180" s="1">
        <v>8</v>
      </c>
      <c r="B180" s="1">
        <f t="shared" si="11"/>
        <v>13</v>
      </c>
      <c r="C180" s="1" t="s">
        <v>370</v>
      </c>
      <c r="D180" s="1" t="s">
        <v>281</v>
      </c>
      <c r="E180" s="3" t="s">
        <v>267</v>
      </c>
      <c r="F180" s="32" t="s">
        <v>1755</v>
      </c>
      <c r="G180" s="1" t="s">
        <v>363</v>
      </c>
      <c r="H180" s="24">
        <f>COUNTIF(ValidTeams[],E180)</f>
        <v>1</v>
      </c>
    </row>
    <row r="181" spans="1:8" x14ac:dyDescent="0.25">
      <c r="A181" s="1">
        <v>9</v>
      </c>
      <c r="B181" s="1">
        <f t="shared" si="11"/>
        <v>12</v>
      </c>
      <c r="C181" s="1" t="s">
        <v>372</v>
      </c>
      <c r="D181" s="1" t="s">
        <v>278</v>
      </c>
      <c r="E181" s="3" t="s">
        <v>267</v>
      </c>
      <c r="F181" s="32" t="s">
        <v>1756</v>
      </c>
      <c r="G181" s="1" t="s">
        <v>363</v>
      </c>
      <c r="H181" s="24">
        <f>COUNTIF(ValidTeams[],E181)</f>
        <v>1</v>
      </c>
    </row>
    <row r="182" spans="1:8" x14ac:dyDescent="0.25">
      <c r="A182" s="1">
        <v>10</v>
      </c>
      <c r="B182" s="1">
        <f t="shared" si="11"/>
        <v>11</v>
      </c>
      <c r="C182" s="1" t="s">
        <v>1757</v>
      </c>
      <c r="D182" s="1" t="s">
        <v>1758</v>
      </c>
      <c r="E182" s="3" t="s">
        <v>504</v>
      </c>
      <c r="F182" s="32" t="s">
        <v>1759</v>
      </c>
      <c r="G182" s="1" t="s">
        <v>363</v>
      </c>
      <c r="H182" s="24">
        <f>COUNTIF(ValidTeams[],E182)</f>
        <v>1</v>
      </c>
    </row>
    <row r="183" spans="1:8" x14ac:dyDescent="0.25">
      <c r="A183" s="6"/>
      <c r="B183" s="6"/>
      <c r="C183" s="6"/>
      <c r="D183" s="6"/>
      <c r="E183" s="21"/>
      <c r="F183" s="33"/>
      <c r="G183" s="6"/>
      <c r="H183" s="34"/>
    </row>
    <row r="184" spans="1:8" x14ac:dyDescent="0.25">
      <c r="A184" s="4" t="s">
        <v>0</v>
      </c>
      <c r="B184" s="4" t="s">
        <v>73</v>
      </c>
      <c r="C184" s="4" t="s">
        <v>1</v>
      </c>
      <c r="D184" s="4" t="s">
        <v>2</v>
      </c>
      <c r="E184" s="5" t="s">
        <v>3</v>
      </c>
      <c r="F184" s="31" t="s">
        <v>4</v>
      </c>
      <c r="G184" s="4" t="s">
        <v>5</v>
      </c>
      <c r="H184" s="4" t="s">
        <v>72</v>
      </c>
    </row>
    <row r="185" spans="1:8" x14ac:dyDescent="0.25">
      <c r="A185" s="1">
        <v>1</v>
      </c>
      <c r="B185">
        <f t="shared" ref="B185:B187" si="12">IF(H185=1,MAX(21-A185,0),0)</f>
        <v>0</v>
      </c>
      <c r="C185" s="6" t="s">
        <v>913</v>
      </c>
      <c r="D185" s="6" t="s">
        <v>1724</v>
      </c>
      <c r="E185" s="21" t="s">
        <v>1725</v>
      </c>
      <c r="F185" s="33" t="s">
        <v>1726</v>
      </c>
      <c r="G185" s="1" t="s">
        <v>399</v>
      </c>
      <c r="H185" s="6">
        <f>COUNTIF(ValidTeams[],E185)</f>
        <v>0</v>
      </c>
    </row>
    <row r="186" spans="1:8" x14ac:dyDescent="0.25">
      <c r="A186" s="1">
        <v>2</v>
      </c>
      <c r="B186">
        <f t="shared" si="12"/>
        <v>19</v>
      </c>
      <c r="C186" s="6" t="s">
        <v>1728</v>
      </c>
      <c r="D186" s="6" t="s">
        <v>1727</v>
      </c>
      <c r="E186" s="3" t="s">
        <v>313</v>
      </c>
      <c r="F186" s="32" t="s">
        <v>1730</v>
      </c>
      <c r="G186" s="1" t="s">
        <v>399</v>
      </c>
      <c r="H186" s="6">
        <f>COUNTIF(ValidTeams[],E186)</f>
        <v>1</v>
      </c>
    </row>
    <row r="187" spans="1:8" x14ac:dyDescent="0.25">
      <c r="A187" s="1">
        <v>3</v>
      </c>
      <c r="B187">
        <f t="shared" si="12"/>
        <v>18</v>
      </c>
      <c r="C187" s="6" t="s">
        <v>396</v>
      </c>
      <c r="D187" s="6" t="s">
        <v>397</v>
      </c>
      <c r="E187" s="3" t="s">
        <v>88</v>
      </c>
      <c r="F187" s="32" t="s">
        <v>1729</v>
      </c>
      <c r="G187" s="1" t="s">
        <v>399</v>
      </c>
      <c r="H187" s="6">
        <f>COUNTIF(ValidTeams[],E187)</f>
        <v>1</v>
      </c>
    </row>
    <row r="188" spans="1:8" x14ac:dyDescent="0.25">
      <c r="A188" s="1">
        <v>4</v>
      </c>
      <c r="B188" s="1">
        <f>IF(H188=1,MAX(21-A188,0),0)</f>
        <v>17</v>
      </c>
      <c r="C188" s="6" t="s">
        <v>400</v>
      </c>
      <c r="D188" s="6" t="s">
        <v>401</v>
      </c>
      <c r="E188" s="3" t="s">
        <v>290</v>
      </c>
      <c r="F188" s="32" t="s">
        <v>1731</v>
      </c>
      <c r="G188" s="1" t="s">
        <v>399</v>
      </c>
      <c r="H188" s="24">
        <f>COUNTIF(ValidTeams[],E188)</f>
        <v>1</v>
      </c>
    </row>
    <row r="189" spans="1:8" x14ac:dyDescent="0.25">
      <c r="A189" s="1">
        <v>5</v>
      </c>
      <c r="B189" s="1">
        <f>IF(H189=1,MAX(21-A189,0),0)</f>
        <v>0</v>
      </c>
      <c r="C189" s="1"/>
      <c r="D189" s="1"/>
      <c r="E189" s="3"/>
      <c r="F189" s="32"/>
      <c r="G189" s="1" t="s">
        <v>399</v>
      </c>
      <c r="H189" s="24">
        <f>COUNTIF(ValidTeams[],E189)</f>
        <v>0</v>
      </c>
    </row>
    <row r="190" spans="1:8" x14ac:dyDescent="0.25">
      <c r="A190" s="1">
        <v>6</v>
      </c>
      <c r="B190" s="1">
        <f>IF(H190=1,MAX(21-A190,0),0)</f>
        <v>0</v>
      </c>
      <c r="C190" s="1"/>
      <c r="D190" s="1"/>
      <c r="E190" s="3"/>
      <c r="F190" s="32"/>
      <c r="G190" s="1" t="s">
        <v>399</v>
      </c>
      <c r="H190" s="24">
        <f>COUNTIF(ValidTeams[],E190)</f>
        <v>0</v>
      </c>
    </row>
    <row r="191" spans="1:8" x14ac:dyDescent="0.25">
      <c r="A191" s="1">
        <v>7</v>
      </c>
      <c r="B191" s="1">
        <f>IF(H191=1,MAX(21-A191,0),0)</f>
        <v>0</v>
      </c>
      <c r="C191" s="1"/>
      <c r="D191" s="1"/>
      <c r="E191" s="3"/>
      <c r="F191" s="32"/>
      <c r="G191" s="1" t="s">
        <v>399</v>
      </c>
      <c r="H191" s="24">
        <f>COUNTIF(ValidTeams[],E191)</f>
        <v>0</v>
      </c>
    </row>
    <row r="192" spans="1:8" x14ac:dyDescent="0.25">
      <c r="A192" s="1">
        <v>8</v>
      </c>
      <c r="B192" s="1">
        <f>IF(H192=1,MAX(21-A192,0),0)</f>
        <v>0</v>
      </c>
      <c r="C192" s="1"/>
      <c r="D192" s="1"/>
      <c r="E192" s="3"/>
      <c r="F192" s="32"/>
      <c r="G192" s="1" t="s">
        <v>399</v>
      </c>
      <c r="H192" s="24">
        <f>COUNTIF(ValidTeams[],E192)</f>
        <v>0</v>
      </c>
    </row>
    <row r="193" spans="1:8" x14ac:dyDescent="0.25">
      <c r="A193" s="6"/>
      <c r="B193" s="6"/>
      <c r="C193" s="6"/>
      <c r="D193" s="6"/>
      <c r="E193" s="21"/>
      <c r="F193" s="33"/>
      <c r="G193" s="6"/>
      <c r="H193" s="34"/>
    </row>
    <row r="194" spans="1:8" x14ac:dyDescent="0.25">
      <c r="A194" s="4" t="s">
        <v>0</v>
      </c>
      <c r="B194" s="4" t="s">
        <v>73</v>
      </c>
      <c r="C194" s="4" t="s">
        <v>1</v>
      </c>
      <c r="D194" s="4" t="s">
        <v>2</v>
      </c>
      <c r="E194" s="5" t="s">
        <v>3</v>
      </c>
      <c r="F194" s="31" t="s">
        <v>4</v>
      </c>
      <c r="G194" s="4" t="s">
        <v>5</v>
      </c>
      <c r="H194" s="4" t="s">
        <v>72</v>
      </c>
    </row>
    <row r="195" spans="1:8" x14ac:dyDescent="0.25">
      <c r="A195" s="1">
        <v>1</v>
      </c>
      <c r="B195">
        <f t="shared" ref="B195:B207" si="13">IF(H195=1,MAX(21-A195,0),0)</f>
        <v>20</v>
      </c>
      <c r="C195" s="1" t="s">
        <v>1231</v>
      </c>
      <c r="D195" s="1" t="s">
        <v>1232</v>
      </c>
      <c r="E195" s="3" t="s">
        <v>226</v>
      </c>
      <c r="F195" s="32" t="s">
        <v>1760</v>
      </c>
      <c r="G195" s="1" t="s">
        <v>405</v>
      </c>
      <c r="H195" s="6">
        <f>COUNTIF(ValidTeams[],E195)</f>
        <v>1</v>
      </c>
    </row>
    <row r="196" spans="1:8" x14ac:dyDescent="0.25">
      <c r="A196" s="1">
        <v>2</v>
      </c>
      <c r="B196">
        <f t="shared" si="13"/>
        <v>19</v>
      </c>
      <c r="C196" s="1" t="s">
        <v>406</v>
      </c>
      <c r="D196" s="1" t="s">
        <v>186</v>
      </c>
      <c r="E196" s="3" t="s">
        <v>407</v>
      </c>
      <c r="F196" s="32" t="s">
        <v>1761</v>
      </c>
      <c r="G196" s="1" t="s">
        <v>405</v>
      </c>
      <c r="H196" s="6">
        <f>COUNTIF(ValidTeams[],E196)</f>
        <v>1</v>
      </c>
    </row>
    <row r="197" spans="1:8" x14ac:dyDescent="0.25">
      <c r="A197" s="1">
        <v>3</v>
      </c>
      <c r="B197">
        <f t="shared" si="13"/>
        <v>18</v>
      </c>
      <c r="C197" s="1" t="s">
        <v>902</v>
      </c>
      <c r="D197" s="1" t="s">
        <v>318</v>
      </c>
      <c r="E197" s="3" t="s">
        <v>222</v>
      </c>
      <c r="F197" s="32" t="s">
        <v>1762</v>
      </c>
      <c r="G197" s="1" t="s">
        <v>405</v>
      </c>
      <c r="H197" s="6">
        <f>COUNTIF(ValidTeams[],E197)</f>
        <v>1</v>
      </c>
    </row>
    <row r="198" spans="1:8" x14ac:dyDescent="0.25">
      <c r="A198" s="1">
        <v>4</v>
      </c>
      <c r="B198">
        <f t="shared" si="13"/>
        <v>17</v>
      </c>
      <c r="C198" s="1" t="s">
        <v>1530</v>
      </c>
      <c r="D198" s="1" t="s">
        <v>733</v>
      </c>
      <c r="E198" s="3" t="s">
        <v>1531</v>
      </c>
      <c r="F198" s="32" t="s">
        <v>1763</v>
      </c>
      <c r="G198" s="1" t="s">
        <v>405</v>
      </c>
      <c r="H198" s="6">
        <f>COUNTIF(ValidTeams[],E198)</f>
        <v>1</v>
      </c>
    </row>
    <row r="199" spans="1:8" x14ac:dyDescent="0.25">
      <c r="A199" s="1">
        <v>5</v>
      </c>
      <c r="B199">
        <f t="shared" si="13"/>
        <v>0</v>
      </c>
      <c r="C199" s="1" t="s">
        <v>1238</v>
      </c>
      <c r="D199" s="1" t="s">
        <v>1239</v>
      </c>
      <c r="E199" s="3"/>
      <c r="F199" s="32" t="s">
        <v>1764</v>
      </c>
      <c r="G199" s="1" t="s">
        <v>405</v>
      </c>
      <c r="H199" s="6">
        <f>COUNTIF(ValidTeams[],E199)</f>
        <v>0</v>
      </c>
    </row>
    <row r="200" spans="1:8" x14ac:dyDescent="0.25">
      <c r="A200" s="1">
        <v>6</v>
      </c>
      <c r="B200">
        <f t="shared" si="13"/>
        <v>0</v>
      </c>
      <c r="C200" s="1" t="s">
        <v>1765</v>
      </c>
      <c r="D200" s="1" t="s">
        <v>1766</v>
      </c>
      <c r="E200" s="3" t="s">
        <v>1753</v>
      </c>
      <c r="F200" s="32" t="s">
        <v>1767</v>
      </c>
      <c r="G200" s="1" t="s">
        <v>405</v>
      </c>
      <c r="H200" s="6">
        <f>COUNTIF(ValidTeams[],E200)</f>
        <v>0</v>
      </c>
    </row>
    <row r="201" spans="1:8" x14ac:dyDescent="0.25">
      <c r="A201" s="1">
        <v>7</v>
      </c>
      <c r="B201">
        <f t="shared" si="13"/>
        <v>0</v>
      </c>
      <c r="C201" s="1" t="s">
        <v>693</v>
      </c>
      <c r="D201" s="1" t="s">
        <v>27</v>
      </c>
      <c r="E201" s="3"/>
      <c r="F201" s="32" t="s">
        <v>1768</v>
      </c>
      <c r="G201" s="1" t="s">
        <v>405</v>
      </c>
      <c r="H201" s="6">
        <f>COUNTIF(ValidTeams[],E201)</f>
        <v>0</v>
      </c>
    </row>
    <row r="202" spans="1:8" x14ac:dyDescent="0.25">
      <c r="A202" s="1">
        <v>8</v>
      </c>
      <c r="B202" s="1">
        <f t="shared" si="13"/>
        <v>0</v>
      </c>
      <c r="C202" s="1" t="s">
        <v>1769</v>
      </c>
      <c r="D202" s="1" t="s">
        <v>27</v>
      </c>
      <c r="E202" s="3" t="s">
        <v>1770</v>
      </c>
      <c r="F202" s="32" t="s">
        <v>1771</v>
      </c>
      <c r="G202" s="1" t="s">
        <v>405</v>
      </c>
      <c r="H202" s="24">
        <f>COUNTIF(ValidTeams[],E202)</f>
        <v>0</v>
      </c>
    </row>
    <row r="203" spans="1:8" x14ac:dyDescent="0.25">
      <c r="A203" s="1">
        <v>9</v>
      </c>
      <c r="B203" s="1">
        <f t="shared" si="13"/>
        <v>0</v>
      </c>
      <c r="C203" s="1" t="s">
        <v>1157</v>
      </c>
      <c r="D203" s="1" t="s">
        <v>1158</v>
      </c>
      <c r="E203" s="3" t="s">
        <v>1159</v>
      </c>
      <c r="F203" s="32" t="s">
        <v>1772</v>
      </c>
      <c r="G203" s="1" t="s">
        <v>405</v>
      </c>
      <c r="H203" s="24">
        <f>COUNTIF(ValidTeams[],E203)</f>
        <v>0</v>
      </c>
    </row>
    <row r="204" spans="1:8" x14ac:dyDescent="0.25">
      <c r="A204" s="1">
        <v>10</v>
      </c>
      <c r="B204" s="1">
        <f t="shared" si="13"/>
        <v>11</v>
      </c>
      <c r="C204" s="1" t="s">
        <v>1773</v>
      </c>
      <c r="D204" s="1" t="s">
        <v>1774</v>
      </c>
      <c r="E204" s="3" t="s">
        <v>230</v>
      </c>
      <c r="F204" s="32" t="s">
        <v>1775</v>
      </c>
      <c r="G204" s="1" t="s">
        <v>405</v>
      </c>
      <c r="H204" s="24">
        <f>COUNTIF(ValidTeams[],E204)</f>
        <v>1</v>
      </c>
    </row>
    <row r="205" spans="1:8" x14ac:dyDescent="0.25">
      <c r="A205" s="1">
        <v>11</v>
      </c>
      <c r="B205" s="1">
        <f t="shared" si="13"/>
        <v>10</v>
      </c>
      <c r="C205" s="1" t="s">
        <v>415</v>
      </c>
      <c r="D205" s="1" t="s">
        <v>23</v>
      </c>
      <c r="E205" s="3" t="s">
        <v>38</v>
      </c>
      <c r="F205" s="32" t="s">
        <v>1776</v>
      </c>
      <c r="G205" s="1" t="s">
        <v>405</v>
      </c>
      <c r="H205" s="24">
        <f>COUNTIF(ValidTeams[],E205)</f>
        <v>1</v>
      </c>
    </row>
    <row r="206" spans="1:8" x14ac:dyDescent="0.25">
      <c r="A206" s="1">
        <v>12</v>
      </c>
      <c r="B206" s="1">
        <f t="shared" si="13"/>
        <v>9</v>
      </c>
      <c r="C206" s="1" t="s">
        <v>594</v>
      </c>
      <c r="D206" s="1" t="s">
        <v>595</v>
      </c>
      <c r="E206" s="3" t="s">
        <v>18</v>
      </c>
      <c r="F206" s="32" t="s">
        <v>1777</v>
      </c>
      <c r="G206" s="1" t="s">
        <v>405</v>
      </c>
      <c r="H206" s="24">
        <f>COUNTIF(ValidTeams[],E206)</f>
        <v>1</v>
      </c>
    </row>
    <row r="207" spans="1:8" x14ac:dyDescent="0.25">
      <c r="A207" s="1">
        <v>13</v>
      </c>
      <c r="B207" s="1">
        <f t="shared" si="13"/>
        <v>0</v>
      </c>
      <c r="C207" s="1" t="s">
        <v>1778</v>
      </c>
      <c r="D207" s="1" t="s">
        <v>1779</v>
      </c>
      <c r="E207" s="3" t="s">
        <v>1780</v>
      </c>
      <c r="F207" s="32" t="s">
        <v>1781</v>
      </c>
      <c r="G207" s="1" t="s">
        <v>405</v>
      </c>
      <c r="H207" s="24">
        <f>COUNTIF(ValidTeams[],E207)</f>
        <v>0</v>
      </c>
    </row>
    <row r="208" spans="1:8" x14ac:dyDescent="0.25">
      <c r="A208" s="6"/>
      <c r="B208" s="6"/>
      <c r="C208" s="6"/>
      <c r="D208" s="6"/>
      <c r="E208" s="21"/>
      <c r="F208" s="33"/>
      <c r="G208" s="6"/>
      <c r="H208" s="34"/>
    </row>
    <row r="209" spans="1:8" x14ac:dyDescent="0.25">
      <c r="A209" s="4" t="s">
        <v>0</v>
      </c>
      <c r="B209" s="4" t="s">
        <v>73</v>
      </c>
      <c r="C209" s="4" t="s">
        <v>1</v>
      </c>
      <c r="D209" s="4" t="s">
        <v>2</v>
      </c>
      <c r="E209" s="5" t="s">
        <v>3</v>
      </c>
      <c r="F209" s="31" t="s">
        <v>4</v>
      </c>
      <c r="G209" s="4" t="s">
        <v>5</v>
      </c>
      <c r="H209" s="4" t="s">
        <v>72</v>
      </c>
    </row>
    <row r="210" spans="1:8" x14ac:dyDescent="0.25">
      <c r="A210" s="1">
        <v>1</v>
      </c>
      <c r="B210">
        <f t="shared" ref="B210:B218" si="14">IF(H210=1,MAX(21-A210,0),0)</f>
        <v>20</v>
      </c>
      <c r="C210" s="1" t="s">
        <v>669</v>
      </c>
      <c r="D210" s="1" t="s">
        <v>684</v>
      </c>
      <c r="E210" s="21" t="s">
        <v>49</v>
      </c>
      <c r="F210" s="32" t="s">
        <v>1701</v>
      </c>
      <c r="G210" s="1" t="s">
        <v>426</v>
      </c>
      <c r="H210" s="6">
        <f>COUNTIF(ValidTeams[],E210)</f>
        <v>1</v>
      </c>
    </row>
    <row r="211" spans="1:8" x14ac:dyDescent="0.25">
      <c r="A211" s="1">
        <v>2</v>
      </c>
      <c r="B211">
        <f t="shared" si="14"/>
        <v>0</v>
      </c>
      <c r="C211" s="1" t="s">
        <v>1732</v>
      </c>
      <c r="D211" s="1" t="s">
        <v>1733</v>
      </c>
      <c r="E211" s="3"/>
      <c r="F211" s="32" t="s">
        <v>1734</v>
      </c>
      <c r="G211" s="1" t="s">
        <v>426</v>
      </c>
      <c r="H211" s="6">
        <f>COUNTIF(ValidTeams[],E211)</f>
        <v>0</v>
      </c>
    </row>
    <row r="212" spans="1:8" x14ac:dyDescent="0.25">
      <c r="A212" s="1">
        <v>3</v>
      </c>
      <c r="B212">
        <f t="shared" si="14"/>
        <v>18</v>
      </c>
      <c r="C212" s="1" t="s">
        <v>427</v>
      </c>
      <c r="D212" s="1" t="s">
        <v>428</v>
      </c>
      <c r="E212" s="3" t="s">
        <v>1236</v>
      </c>
      <c r="F212" s="32" t="s">
        <v>1735</v>
      </c>
      <c r="G212" s="1" t="s">
        <v>426</v>
      </c>
      <c r="H212" s="6">
        <f>COUNTIF(ValidTeams[],E212)</f>
        <v>1</v>
      </c>
    </row>
    <row r="213" spans="1:8" x14ac:dyDescent="0.25">
      <c r="A213" s="1">
        <v>4</v>
      </c>
      <c r="B213" s="1">
        <f t="shared" si="14"/>
        <v>17</v>
      </c>
      <c r="C213" s="1" t="s">
        <v>935</v>
      </c>
      <c r="D213" s="1" t="s">
        <v>936</v>
      </c>
      <c r="E213" s="3" t="s">
        <v>49</v>
      </c>
      <c r="F213" s="32" t="s">
        <v>1782</v>
      </c>
      <c r="G213" s="1" t="s">
        <v>426</v>
      </c>
      <c r="H213" s="6">
        <f>COUNTIF(ValidTeams[],E213)</f>
        <v>1</v>
      </c>
    </row>
    <row r="214" spans="1:8" x14ac:dyDescent="0.25">
      <c r="A214" s="1">
        <v>5</v>
      </c>
      <c r="B214" s="1">
        <f t="shared" si="14"/>
        <v>16</v>
      </c>
      <c r="C214" s="1" t="s">
        <v>430</v>
      </c>
      <c r="D214" s="1" t="s">
        <v>431</v>
      </c>
      <c r="E214" s="3" t="s">
        <v>100</v>
      </c>
      <c r="F214" s="32" t="s">
        <v>1783</v>
      </c>
      <c r="G214" s="1" t="s">
        <v>426</v>
      </c>
      <c r="H214" s="6">
        <f>COUNTIF(ValidTeams[],E214)</f>
        <v>1</v>
      </c>
    </row>
    <row r="215" spans="1:8" x14ac:dyDescent="0.25">
      <c r="A215" s="1">
        <v>6</v>
      </c>
      <c r="B215" s="1">
        <f t="shared" si="14"/>
        <v>15</v>
      </c>
      <c r="C215" s="1" t="s">
        <v>1360</v>
      </c>
      <c r="D215" s="1" t="s">
        <v>1361</v>
      </c>
      <c r="E215" s="3" t="s">
        <v>1362</v>
      </c>
      <c r="F215" s="32" t="s">
        <v>1784</v>
      </c>
      <c r="G215" s="1" t="s">
        <v>426</v>
      </c>
      <c r="H215" s="6">
        <f>COUNTIF(ValidTeams[],E215)</f>
        <v>1</v>
      </c>
    </row>
    <row r="216" spans="1:8" x14ac:dyDescent="0.25">
      <c r="A216" s="1">
        <v>7</v>
      </c>
      <c r="B216" s="1">
        <f t="shared" si="14"/>
        <v>0</v>
      </c>
      <c r="C216" s="1"/>
      <c r="D216" s="1"/>
      <c r="E216" s="3"/>
      <c r="F216" s="32"/>
      <c r="G216" s="1" t="s">
        <v>426</v>
      </c>
      <c r="H216" s="6">
        <f>COUNTIF(ValidTeams[],E216)</f>
        <v>0</v>
      </c>
    </row>
    <row r="217" spans="1:8" x14ac:dyDescent="0.25">
      <c r="A217" s="1">
        <v>8</v>
      </c>
      <c r="B217" s="1">
        <f t="shared" si="14"/>
        <v>0</v>
      </c>
      <c r="C217" s="1"/>
      <c r="D217" s="1"/>
      <c r="E217" s="3"/>
      <c r="F217" s="32"/>
      <c r="G217" s="1" t="s">
        <v>426</v>
      </c>
      <c r="H217" s="6">
        <f>COUNTIF(ValidTeams[],E217)</f>
        <v>0</v>
      </c>
    </row>
    <row r="218" spans="1:8" x14ac:dyDescent="0.25">
      <c r="A218" s="1">
        <v>9</v>
      </c>
      <c r="B218" s="1">
        <f t="shared" si="14"/>
        <v>0</v>
      </c>
      <c r="C218" s="1"/>
      <c r="D218" s="1"/>
      <c r="E218" s="3"/>
      <c r="F218" s="32"/>
      <c r="G218" s="1" t="s">
        <v>426</v>
      </c>
      <c r="H218" s="6">
        <f>COUNTIF(ValidTeams[],E218)</f>
        <v>0</v>
      </c>
    </row>
    <row r="219" spans="1:8" x14ac:dyDescent="0.25">
      <c r="F219" s="29"/>
    </row>
    <row r="220" spans="1:8" x14ac:dyDescent="0.25">
      <c r="F220" s="29"/>
    </row>
    <row r="221" spans="1:8" x14ac:dyDescent="0.25">
      <c r="F221" s="29"/>
    </row>
    <row r="222" spans="1:8" x14ac:dyDescent="0.25">
      <c r="F222" s="29"/>
    </row>
    <row r="223" spans="1:8" x14ac:dyDescent="0.25">
      <c r="F223" s="29"/>
    </row>
    <row r="224" spans="1:8" x14ac:dyDescent="0.25">
      <c r="F224" s="29"/>
    </row>
    <row r="225" spans="6:6" x14ac:dyDescent="0.25">
      <c r="F225" s="29"/>
    </row>
    <row r="226" spans="6:6" x14ac:dyDescent="0.25">
      <c r="F226" s="29"/>
    </row>
    <row r="227" spans="6:6" x14ac:dyDescent="0.25">
      <c r="F227" s="29"/>
    </row>
    <row r="228" spans="6:6" x14ac:dyDescent="0.25">
      <c r="F228" s="29"/>
    </row>
    <row r="229" spans="6:6" x14ac:dyDescent="0.25">
      <c r="F229" s="29"/>
    </row>
    <row r="230" spans="6:6" x14ac:dyDescent="0.25">
      <c r="F230" s="29"/>
    </row>
    <row r="231" spans="6:6" x14ac:dyDescent="0.25">
      <c r="F231" s="29"/>
    </row>
    <row r="232" spans="6:6" x14ac:dyDescent="0.25">
      <c r="F232" s="29"/>
    </row>
    <row r="233" spans="6:6" x14ac:dyDescent="0.25">
      <c r="F233" s="29"/>
    </row>
    <row r="234" spans="6:6" x14ac:dyDescent="0.25">
      <c r="F234" s="29"/>
    </row>
    <row r="235" spans="6:6" x14ac:dyDescent="0.25">
      <c r="F235" s="29"/>
    </row>
    <row r="236" spans="6:6" x14ac:dyDescent="0.25">
      <c r="F236" s="29"/>
    </row>
    <row r="237" spans="6:6" x14ac:dyDescent="0.25">
      <c r="F237" s="29"/>
    </row>
    <row r="238" spans="6:6" x14ac:dyDescent="0.25">
      <c r="F238" s="29"/>
    </row>
    <row r="239" spans="6:6" x14ac:dyDescent="0.25">
      <c r="F239" s="29"/>
    </row>
    <row r="240" spans="6:6" x14ac:dyDescent="0.25">
      <c r="F240" s="29"/>
    </row>
    <row r="241" spans="6:6" x14ac:dyDescent="0.25">
      <c r="F241" s="29"/>
    </row>
    <row r="242" spans="6:6" x14ac:dyDescent="0.25">
      <c r="F242" s="29"/>
    </row>
    <row r="243" spans="6:6" x14ac:dyDescent="0.25">
      <c r="F243" s="29"/>
    </row>
    <row r="244" spans="6:6" x14ac:dyDescent="0.25">
      <c r="F244" s="29"/>
    </row>
    <row r="245" spans="6:6" x14ac:dyDescent="0.25">
      <c r="F245" s="29"/>
    </row>
    <row r="246" spans="6:6" x14ac:dyDescent="0.25">
      <c r="F246" s="29"/>
    </row>
    <row r="247" spans="6:6" x14ac:dyDescent="0.25">
      <c r="F247" s="29"/>
    </row>
    <row r="248" spans="6:6" x14ac:dyDescent="0.25">
      <c r="F248" s="29"/>
    </row>
    <row r="249" spans="6:6" x14ac:dyDescent="0.25">
      <c r="F249" s="29"/>
    </row>
    <row r="250" spans="6:6" x14ac:dyDescent="0.25">
      <c r="F250" s="29"/>
    </row>
    <row r="251" spans="6:6" x14ac:dyDescent="0.25">
      <c r="F251" s="29"/>
    </row>
    <row r="252" spans="6:6" x14ac:dyDescent="0.25">
      <c r="F252" s="29"/>
    </row>
    <row r="253" spans="6:6" x14ac:dyDescent="0.25">
      <c r="F253" s="29"/>
    </row>
    <row r="254" spans="6:6" x14ac:dyDescent="0.25">
      <c r="F254" s="29"/>
    </row>
    <row r="255" spans="6:6" x14ac:dyDescent="0.25">
      <c r="F255" s="29"/>
    </row>
    <row r="256" spans="6:6" x14ac:dyDescent="0.25">
      <c r="F256" s="29"/>
    </row>
    <row r="257" spans="6:6" x14ac:dyDescent="0.25">
      <c r="F257" s="29"/>
    </row>
    <row r="258" spans="6:6" x14ac:dyDescent="0.25">
      <c r="F258" s="29"/>
    </row>
    <row r="259" spans="6:6" x14ac:dyDescent="0.25">
      <c r="F259" s="29"/>
    </row>
    <row r="260" spans="6:6" x14ac:dyDescent="0.25">
      <c r="F260" s="29"/>
    </row>
    <row r="261" spans="6:6" x14ac:dyDescent="0.25">
      <c r="F261" s="29"/>
    </row>
    <row r="262" spans="6:6" x14ac:dyDescent="0.25">
      <c r="F262" s="29"/>
    </row>
    <row r="263" spans="6:6" x14ac:dyDescent="0.25">
      <c r="F263" s="29"/>
    </row>
    <row r="264" spans="6:6" x14ac:dyDescent="0.25">
      <c r="F264" s="29"/>
    </row>
    <row r="265" spans="6:6" x14ac:dyDescent="0.25">
      <c r="F265" s="29"/>
    </row>
    <row r="266" spans="6:6" x14ac:dyDescent="0.25">
      <c r="F266" s="29"/>
    </row>
    <row r="267" spans="6:6" x14ac:dyDescent="0.25">
      <c r="F267" s="29"/>
    </row>
    <row r="268" spans="6:6" x14ac:dyDescent="0.25">
      <c r="F268" s="29"/>
    </row>
    <row r="269" spans="6:6" x14ac:dyDescent="0.25">
      <c r="F269" s="29"/>
    </row>
    <row r="270" spans="6:6" x14ac:dyDescent="0.25">
      <c r="F270" s="29"/>
    </row>
    <row r="271" spans="6:6" x14ac:dyDescent="0.25">
      <c r="F271" s="29"/>
    </row>
    <row r="272" spans="6:6" x14ac:dyDescent="0.25">
      <c r="F272" s="29"/>
    </row>
    <row r="273" spans="6:6" x14ac:dyDescent="0.25">
      <c r="F273" s="29"/>
    </row>
    <row r="274" spans="6:6" x14ac:dyDescent="0.25">
      <c r="F274" s="29"/>
    </row>
    <row r="275" spans="6:6" x14ac:dyDescent="0.25">
      <c r="F275" s="29"/>
    </row>
    <row r="276" spans="6:6" x14ac:dyDescent="0.25">
      <c r="F276" s="29"/>
    </row>
    <row r="277" spans="6:6" x14ac:dyDescent="0.25">
      <c r="F277" s="29"/>
    </row>
    <row r="278" spans="6:6" x14ac:dyDescent="0.25">
      <c r="F278" s="29"/>
    </row>
    <row r="279" spans="6:6" x14ac:dyDescent="0.25">
      <c r="F279" s="29"/>
    </row>
    <row r="280" spans="6:6" x14ac:dyDescent="0.25">
      <c r="F280" s="29"/>
    </row>
    <row r="281" spans="6:6" x14ac:dyDescent="0.25">
      <c r="F281" s="29"/>
    </row>
    <row r="282" spans="6:6" x14ac:dyDescent="0.25">
      <c r="F282" s="29"/>
    </row>
    <row r="283" spans="6:6" x14ac:dyDescent="0.25">
      <c r="F283" s="29"/>
    </row>
    <row r="284" spans="6:6" x14ac:dyDescent="0.25">
      <c r="F284" s="29"/>
    </row>
    <row r="285" spans="6:6" x14ac:dyDescent="0.25">
      <c r="F285" s="29"/>
    </row>
    <row r="286" spans="6:6" x14ac:dyDescent="0.25">
      <c r="F286" s="29"/>
    </row>
    <row r="287" spans="6:6" x14ac:dyDescent="0.25">
      <c r="F287" s="29"/>
    </row>
    <row r="288" spans="6:6" x14ac:dyDescent="0.25">
      <c r="F288" s="29"/>
    </row>
    <row r="289" spans="6:6" x14ac:dyDescent="0.25">
      <c r="F289" s="29"/>
    </row>
    <row r="290" spans="6:6" x14ac:dyDescent="0.25">
      <c r="F290" s="29"/>
    </row>
    <row r="291" spans="6:6" x14ac:dyDescent="0.25">
      <c r="F291" s="29"/>
    </row>
    <row r="292" spans="6:6" x14ac:dyDescent="0.25">
      <c r="F292" s="29"/>
    </row>
    <row r="293" spans="6:6" x14ac:dyDescent="0.25">
      <c r="F293" s="29"/>
    </row>
    <row r="294" spans="6:6" x14ac:dyDescent="0.25">
      <c r="F294" s="29"/>
    </row>
    <row r="295" spans="6:6" x14ac:dyDescent="0.25">
      <c r="F295" s="29"/>
    </row>
    <row r="296" spans="6:6" x14ac:dyDescent="0.25">
      <c r="F296" s="29"/>
    </row>
    <row r="297" spans="6:6" x14ac:dyDescent="0.25">
      <c r="F297" s="29"/>
    </row>
    <row r="298" spans="6:6" x14ac:dyDescent="0.25">
      <c r="F298" s="29"/>
    </row>
    <row r="299" spans="6:6" x14ac:dyDescent="0.25">
      <c r="F299" s="29"/>
    </row>
    <row r="300" spans="6:6" x14ac:dyDescent="0.25">
      <c r="F300" s="29"/>
    </row>
  </sheetData>
  <conditionalFormatting sqref="H1:H1048576">
    <cfRule type="cellIs" dxfId="545" priority="2" operator="lessThan">
      <formula>1</formula>
    </cfRule>
  </conditionalFormatting>
  <pageMargins left="0.7" right="0.7" top="0.75" bottom="0.75" header="0.3" footer="0.3"/>
  <pageSetup scale="89" fitToHeight="0" orientation="landscape" horizontalDpi="4294967293" r:id="rId1"/>
  <tableParts count="1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FFE1F-F772-4CCE-AE9B-12C0A4B42C40}">
  <sheetPr codeName="Sheet12">
    <pageSetUpPr fitToPage="1"/>
  </sheetPr>
  <dimension ref="A1:H210"/>
  <sheetViews>
    <sheetView topLeftCell="A55" zoomScaleNormal="100" workbookViewId="0">
      <selection activeCell="E87" sqref="E87"/>
    </sheetView>
  </sheetViews>
  <sheetFormatPr defaultRowHeight="15" x14ac:dyDescent="0.25"/>
  <cols>
    <col min="2" max="2" width="17" customWidth="1"/>
    <col min="3" max="3" width="14.85546875" customWidth="1"/>
    <col min="4" max="4" width="12.28515625" customWidth="1"/>
    <col min="5" max="5" width="37.5703125" style="2" customWidth="1"/>
    <col min="6" max="6" width="15.140625" style="30" customWidth="1"/>
    <col min="7" max="7" width="21.140625" customWidth="1"/>
    <col min="10" max="10" width="12.7109375" customWidth="1"/>
    <col min="11" max="11" width="42.7109375" bestFit="1" customWidth="1"/>
    <col min="14" max="14" width="8.42578125" bestFit="1" customWidth="1"/>
  </cols>
  <sheetData>
    <row r="1" spans="1:8" x14ac:dyDescent="0.25">
      <c r="A1" t="s">
        <v>0</v>
      </c>
      <c r="B1" t="s">
        <v>73</v>
      </c>
      <c r="C1" t="s">
        <v>1</v>
      </c>
      <c r="D1" t="s">
        <v>2</v>
      </c>
      <c r="E1" t="s">
        <v>3</v>
      </c>
      <c r="F1" s="29" t="s">
        <v>4</v>
      </c>
      <c r="G1" t="s">
        <v>5</v>
      </c>
      <c r="H1" t="s">
        <v>458</v>
      </c>
    </row>
    <row r="2" spans="1:8" x14ac:dyDescent="0.25">
      <c r="A2">
        <v>1</v>
      </c>
      <c r="B2">
        <f t="shared" ref="B2:B10" si="0">IF(H2=1,MAX(21-A2,0),0)</f>
        <v>20</v>
      </c>
      <c r="C2" t="s">
        <v>1789</v>
      </c>
      <c r="D2" t="s">
        <v>7</v>
      </c>
      <c r="E2" t="s">
        <v>8</v>
      </c>
      <c r="F2" s="27">
        <v>1.2384027777777777E-2</v>
      </c>
      <c r="G2" t="s">
        <v>9</v>
      </c>
      <c r="H2">
        <f>COUNTIF(ValidTeams[],E2)</f>
        <v>1</v>
      </c>
    </row>
    <row r="3" spans="1:8" x14ac:dyDescent="0.25">
      <c r="A3">
        <v>2</v>
      </c>
      <c r="B3">
        <f t="shared" si="0"/>
        <v>19</v>
      </c>
      <c r="C3" t="s">
        <v>1839</v>
      </c>
      <c r="D3" t="s">
        <v>30</v>
      </c>
      <c r="E3" t="s">
        <v>442</v>
      </c>
      <c r="F3" s="27">
        <v>1.2497453703703703E-2</v>
      </c>
      <c r="G3" t="s">
        <v>9</v>
      </c>
      <c r="H3">
        <f>COUNTIF(ValidTeams[],E3)</f>
        <v>1</v>
      </c>
    </row>
    <row r="4" spans="1:8" x14ac:dyDescent="0.25">
      <c r="A4">
        <v>3</v>
      </c>
      <c r="B4">
        <f t="shared" si="0"/>
        <v>18</v>
      </c>
      <c r="C4" t="s">
        <v>1791</v>
      </c>
      <c r="D4" t="s">
        <v>11</v>
      </c>
      <c r="E4" t="s">
        <v>12</v>
      </c>
      <c r="F4" s="27">
        <v>1.2567939814814815E-2</v>
      </c>
      <c r="G4" t="s">
        <v>9</v>
      </c>
      <c r="H4">
        <f>COUNTIF(ValidTeams[],E4)</f>
        <v>1</v>
      </c>
    </row>
    <row r="5" spans="1:8" x14ac:dyDescent="0.25">
      <c r="A5">
        <v>4</v>
      </c>
      <c r="B5">
        <f t="shared" si="0"/>
        <v>17</v>
      </c>
      <c r="C5" t="s">
        <v>1840</v>
      </c>
      <c r="D5" t="s">
        <v>14</v>
      </c>
      <c r="E5" t="s">
        <v>15</v>
      </c>
      <c r="F5" s="27">
        <v>1.2886111111111112E-2</v>
      </c>
      <c r="G5" t="s">
        <v>9</v>
      </c>
      <c r="H5">
        <f>COUNTIF(ValidTeams[],E5)</f>
        <v>1</v>
      </c>
    </row>
    <row r="6" spans="1:8" x14ac:dyDescent="0.25">
      <c r="A6">
        <v>5</v>
      </c>
      <c r="B6">
        <f t="shared" si="0"/>
        <v>0</v>
      </c>
      <c r="C6" t="s">
        <v>1841</v>
      </c>
      <c r="D6" t="s">
        <v>524</v>
      </c>
      <c r="E6" t="s">
        <v>710</v>
      </c>
      <c r="F6" s="27">
        <v>1.3384143518518519E-2</v>
      </c>
      <c r="G6" t="s">
        <v>9</v>
      </c>
      <c r="H6">
        <f>COUNTIF(ValidTeams[],E6)</f>
        <v>0</v>
      </c>
    </row>
    <row r="7" spans="1:8" x14ac:dyDescent="0.25">
      <c r="A7">
        <v>6</v>
      </c>
      <c r="B7">
        <f t="shared" si="0"/>
        <v>0</v>
      </c>
      <c r="C7" t="s">
        <v>1842</v>
      </c>
      <c r="D7" t="s">
        <v>14</v>
      </c>
      <c r="E7"/>
      <c r="F7" s="27">
        <v>1.3693981481481482E-2</v>
      </c>
      <c r="G7" t="s">
        <v>9</v>
      </c>
      <c r="H7">
        <f>COUNTIF(ValidTeams[],E7)</f>
        <v>0</v>
      </c>
    </row>
    <row r="8" spans="1:8" x14ac:dyDescent="0.25">
      <c r="A8">
        <v>7</v>
      </c>
      <c r="B8">
        <f t="shared" si="0"/>
        <v>14</v>
      </c>
      <c r="C8" t="s">
        <v>1843</v>
      </c>
      <c r="D8" t="s">
        <v>383</v>
      </c>
      <c r="E8" t="s">
        <v>451</v>
      </c>
      <c r="F8" s="27">
        <v>1.4073958333333332E-2</v>
      </c>
      <c r="G8" t="s">
        <v>9</v>
      </c>
      <c r="H8">
        <f>COUNTIF(ValidTeams[],E8)</f>
        <v>1</v>
      </c>
    </row>
    <row r="9" spans="1:8" x14ac:dyDescent="0.25">
      <c r="A9">
        <v>8</v>
      </c>
      <c r="B9">
        <f t="shared" si="0"/>
        <v>0</v>
      </c>
      <c r="C9" t="s">
        <v>1844</v>
      </c>
      <c r="D9" t="s">
        <v>1567</v>
      </c>
      <c r="E9"/>
      <c r="F9" s="27">
        <v>1.4297569444444444E-2</v>
      </c>
      <c r="G9" t="s">
        <v>9</v>
      </c>
      <c r="H9">
        <f>COUNTIF(ValidTeams[],E9)</f>
        <v>0</v>
      </c>
    </row>
    <row r="10" spans="1:8" x14ac:dyDescent="0.25">
      <c r="A10">
        <v>9</v>
      </c>
      <c r="B10">
        <f t="shared" si="0"/>
        <v>12</v>
      </c>
      <c r="C10" t="s">
        <v>1845</v>
      </c>
      <c r="D10" t="s">
        <v>33</v>
      </c>
      <c r="E10" t="s">
        <v>34</v>
      </c>
      <c r="F10" s="27">
        <v>1.6374884259259259E-2</v>
      </c>
      <c r="G10" t="s">
        <v>9</v>
      </c>
      <c r="H10">
        <f>COUNTIF(ValidTeams[],E10)</f>
        <v>1</v>
      </c>
    </row>
    <row r="11" spans="1:8" x14ac:dyDescent="0.25">
      <c r="B11" s="23"/>
      <c r="F11" s="29"/>
      <c r="H11" s="23"/>
    </row>
    <row r="12" spans="1:8" x14ac:dyDescent="0.25">
      <c r="A12" t="s">
        <v>0</v>
      </c>
      <c r="B12" t="s">
        <v>73</v>
      </c>
      <c r="C12" t="s">
        <v>1</v>
      </c>
      <c r="D12" t="s">
        <v>2</v>
      </c>
      <c r="E12" t="s">
        <v>3</v>
      </c>
      <c r="F12" s="29" t="s">
        <v>4</v>
      </c>
      <c r="G12" t="s">
        <v>5</v>
      </c>
      <c r="H12" t="s">
        <v>72</v>
      </c>
    </row>
    <row r="13" spans="1:8" x14ac:dyDescent="0.25">
      <c r="A13">
        <v>1</v>
      </c>
      <c r="B13">
        <f>IF(H13=1,MAX(21-A13,0),0)</f>
        <v>20</v>
      </c>
      <c r="C13" t="s">
        <v>1896</v>
      </c>
      <c r="D13" t="s">
        <v>37</v>
      </c>
      <c r="E13" t="s">
        <v>38</v>
      </c>
      <c r="F13" s="27">
        <v>1.4586689814814814E-2</v>
      </c>
      <c r="G13" t="s">
        <v>39</v>
      </c>
      <c r="H13">
        <f>COUNTIF(ValidTeams[],E13)</f>
        <v>1</v>
      </c>
    </row>
    <row r="14" spans="1:8" x14ac:dyDescent="0.25">
      <c r="A14">
        <v>2</v>
      </c>
      <c r="B14">
        <f>IF(H14=1,MAX(21-A14,0),0)</f>
        <v>19</v>
      </c>
      <c r="C14" t="s">
        <v>1897</v>
      </c>
      <c r="D14" t="s">
        <v>43</v>
      </c>
      <c r="E14" t="s">
        <v>44</v>
      </c>
      <c r="F14" s="27">
        <v>1.4733564814814816E-2</v>
      </c>
      <c r="G14" t="s">
        <v>39</v>
      </c>
      <c r="H14">
        <f>COUNTIF(ValidTeams[],E14)</f>
        <v>1</v>
      </c>
    </row>
    <row r="15" spans="1:8" x14ac:dyDescent="0.25">
      <c r="A15">
        <v>3</v>
      </c>
      <c r="B15">
        <f>IF(H15=1,MAX(21-A15,0),0)</f>
        <v>18</v>
      </c>
      <c r="C15" t="s">
        <v>1845</v>
      </c>
      <c r="D15" t="s">
        <v>48</v>
      </c>
      <c r="E15" t="s">
        <v>49</v>
      </c>
      <c r="F15" s="27">
        <v>1.568148148148148E-2</v>
      </c>
      <c r="G15" t="s">
        <v>39</v>
      </c>
      <c r="H15">
        <f>COUNTIF(ValidTeams[],E15)</f>
        <v>1</v>
      </c>
    </row>
    <row r="16" spans="1:8" x14ac:dyDescent="0.25">
      <c r="A16">
        <v>4</v>
      </c>
      <c r="B16">
        <f>IF(H16=1,MAX(21-A16,0),0)</f>
        <v>17</v>
      </c>
      <c r="C16" t="s">
        <v>1847</v>
      </c>
      <c r="D16" t="s">
        <v>67</v>
      </c>
      <c r="E16" t="s">
        <v>442</v>
      </c>
      <c r="F16" s="27">
        <v>1.6246527777777776E-2</v>
      </c>
      <c r="G16" t="s">
        <v>39</v>
      </c>
      <c r="H16">
        <f>COUNTIF(ValidTeams[],E16)</f>
        <v>1</v>
      </c>
    </row>
    <row r="17" spans="1:8" x14ac:dyDescent="0.25">
      <c r="B17" s="23"/>
      <c r="F17" s="29"/>
      <c r="H17" s="23"/>
    </row>
    <row r="18" spans="1:8" x14ac:dyDescent="0.25">
      <c r="A18" t="s">
        <v>0</v>
      </c>
      <c r="B18" t="s">
        <v>73</v>
      </c>
      <c r="C18" t="s">
        <v>1</v>
      </c>
      <c r="D18" t="s">
        <v>2</v>
      </c>
      <c r="E18" s="2" t="s">
        <v>3</v>
      </c>
      <c r="F18" s="30" t="s">
        <v>4</v>
      </c>
      <c r="G18" t="s">
        <v>5</v>
      </c>
    </row>
    <row r="19" spans="1:8" x14ac:dyDescent="0.25">
      <c r="A19">
        <v>1</v>
      </c>
      <c r="B19">
        <v>20</v>
      </c>
      <c r="C19" t="s">
        <v>89</v>
      </c>
      <c r="D19" t="s">
        <v>90</v>
      </c>
      <c r="E19" s="2" t="s">
        <v>91</v>
      </c>
      <c r="F19" s="29" t="s">
        <v>1889</v>
      </c>
      <c r="G19" t="s">
        <v>86</v>
      </c>
    </row>
    <row r="20" spans="1:8" x14ac:dyDescent="0.25">
      <c r="F20" s="29"/>
    </row>
    <row r="21" spans="1:8" x14ac:dyDescent="0.25">
      <c r="A21" s="4" t="s">
        <v>0</v>
      </c>
      <c r="B21" s="4" t="s">
        <v>73</v>
      </c>
      <c r="C21" s="4" t="s">
        <v>1</v>
      </c>
      <c r="D21" s="4" t="s">
        <v>2</v>
      </c>
      <c r="E21" s="5" t="s">
        <v>3</v>
      </c>
      <c r="F21" s="31" t="s">
        <v>4</v>
      </c>
      <c r="G21" s="4" t="s">
        <v>5</v>
      </c>
    </row>
    <row r="22" spans="1:8" x14ac:dyDescent="0.25">
      <c r="A22" s="1">
        <v>1</v>
      </c>
      <c r="B22" s="1">
        <v>20</v>
      </c>
      <c r="C22" s="1" t="s">
        <v>98</v>
      </c>
      <c r="D22" s="1" t="s">
        <v>99</v>
      </c>
      <c r="E22" s="3" t="s">
        <v>100</v>
      </c>
      <c r="F22" s="32" t="s">
        <v>1861</v>
      </c>
      <c r="G22" s="1" t="s">
        <v>101</v>
      </c>
    </row>
    <row r="23" spans="1:8" x14ac:dyDescent="0.25">
      <c r="A23" s="1">
        <v>2</v>
      </c>
      <c r="B23" s="1">
        <v>19</v>
      </c>
      <c r="C23" s="1" t="s">
        <v>104</v>
      </c>
      <c r="D23" s="1" t="s">
        <v>105</v>
      </c>
      <c r="E23" s="3" t="s">
        <v>100</v>
      </c>
      <c r="F23" s="32" t="s">
        <v>1862</v>
      </c>
      <c r="G23" s="1" t="s">
        <v>101</v>
      </c>
    </row>
    <row r="24" spans="1:8" x14ac:dyDescent="0.25">
      <c r="A24" s="6"/>
      <c r="B24" s="6"/>
      <c r="C24" s="6"/>
      <c r="D24" s="6"/>
      <c r="E24" s="21"/>
      <c r="F24" s="33"/>
      <c r="G24" s="6"/>
    </row>
    <row r="25" spans="1:8" x14ac:dyDescent="0.25">
      <c r="A25" s="4" t="s">
        <v>0</v>
      </c>
      <c r="B25" s="4" t="s">
        <v>73</v>
      </c>
      <c r="C25" s="4" t="s">
        <v>1</v>
      </c>
      <c r="D25" s="4" t="s">
        <v>2</v>
      </c>
      <c r="E25" s="5" t="s">
        <v>3</v>
      </c>
      <c r="F25" s="31" t="s">
        <v>4</v>
      </c>
      <c r="G25" s="4" t="s">
        <v>5</v>
      </c>
    </row>
    <row r="26" spans="1:8" x14ac:dyDescent="0.25">
      <c r="A26" s="1">
        <v>1</v>
      </c>
      <c r="B26" s="1">
        <v>20</v>
      </c>
      <c r="C26" s="6" t="s">
        <v>354</v>
      </c>
      <c r="D26" s="6" t="s">
        <v>221</v>
      </c>
      <c r="E26" s="21" t="s">
        <v>91</v>
      </c>
      <c r="F26" s="33" t="s">
        <v>1866</v>
      </c>
      <c r="G26" s="1" t="s">
        <v>109</v>
      </c>
    </row>
    <row r="27" spans="1:8" x14ac:dyDescent="0.25">
      <c r="A27" s="6"/>
      <c r="B27" s="6"/>
      <c r="C27" s="6"/>
      <c r="D27" s="6"/>
      <c r="E27" s="21"/>
      <c r="F27" s="33"/>
      <c r="G27" s="6"/>
    </row>
    <row r="28" spans="1:8" x14ac:dyDescent="0.25">
      <c r="A28" s="4" t="s">
        <v>0</v>
      </c>
      <c r="B28" s="4" t="s">
        <v>73</v>
      </c>
      <c r="C28" s="4" t="s">
        <v>1</v>
      </c>
      <c r="D28" s="4" t="s">
        <v>2</v>
      </c>
      <c r="E28" s="5" t="s">
        <v>3</v>
      </c>
      <c r="F28" s="31" t="s">
        <v>4</v>
      </c>
      <c r="G28" s="4" t="s">
        <v>5</v>
      </c>
    </row>
    <row r="29" spans="1:8" x14ac:dyDescent="0.25">
      <c r="A29" s="1">
        <v>1</v>
      </c>
      <c r="B29" s="1">
        <v>20</v>
      </c>
      <c r="C29" s="1" t="s">
        <v>115</v>
      </c>
      <c r="D29" s="1" t="s">
        <v>116</v>
      </c>
      <c r="E29" s="3" t="s">
        <v>100</v>
      </c>
      <c r="F29" s="32" t="s">
        <v>1863</v>
      </c>
      <c r="G29" s="1" t="s">
        <v>112</v>
      </c>
    </row>
    <row r="30" spans="1:8" x14ac:dyDescent="0.25">
      <c r="A30" s="1">
        <v>2</v>
      </c>
      <c r="B30" s="1">
        <v>19</v>
      </c>
      <c r="C30" s="1" t="s">
        <v>104</v>
      </c>
      <c r="D30" s="1" t="s">
        <v>111</v>
      </c>
      <c r="E30" s="3" t="s">
        <v>100</v>
      </c>
      <c r="F30" s="32" t="s">
        <v>1864</v>
      </c>
      <c r="G30" s="1" t="s">
        <v>112</v>
      </c>
    </row>
    <row r="31" spans="1:8" x14ac:dyDescent="0.25">
      <c r="A31" s="1">
        <v>3</v>
      </c>
      <c r="B31" s="1">
        <v>18</v>
      </c>
      <c r="C31" s="1" t="s">
        <v>113</v>
      </c>
      <c r="D31" s="1" t="s">
        <v>114</v>
      </c>
      <c r="E31" s="3"/>
      <c r="F31" s="32" t="s">
        <v>1865</v>
      </c>
      <c r="G31" s="1" t="s">
        <v>112</v>
      </c>
    </row>
    <row r="32" spans="1:8" x14ac:dyDescent="0.25">
      <c r="A32" s="6"/>
      <c r="B32" s="6"/>
      <c r="C32" s="6"/>
      <c r="D32" s="6"/>
      <c r="E32" s="21"/>
      <c r="F32" s="33"/>
      <c r="G32" s="6"/>
    </row>
    <row r="33" spans="1:8" x14ac:dyDescent="0.25">
      <c r="A33" s="4" t="s">
        <v>0</v>
      </c>
      <c r="B33" s="4" t="s">
        <v>73</v>
      </c>
      <c r="C33" s="4" t="s">
        <v>1</v>
      </c>
      <c r="D33" s="4" t="s">
        <v>2</v>
      </c>
      <c r="E33" s="5" t="s">
        <v>3</v>
      </c>
      <c r="F33" s="31" t="s">
        <v>4</v>
      </c>
      <c r="G33" s="4" t="s">
        <v>5</v>
      </c>
    </row>
    <row r="34" spans="1:8" x14ac:dyDescent="0.25">
      <c r="A34" s="1">
        <v>1</v>
      </c>
      <c r="B34" s="1">
        <v>20</v>
      </c>
      <c r="C34" s="1" t="s">
        <v>354</v>
      </c>
      <c r="D34" s="1" t="s">
        <v>1906</v>
      </c>
      <c r="E34" s="3" t="s">
        <v>91</v>
      </c>
      <c r="F34" s="32" t="s">
        <v>1907</v>
      </c>
      <c r="G34" s="1" t="s">
        <v>119</v>
      </c>
    </row>
    <row r="35" spans="1:8" x14ac:dyDescent="0.25">
      <c r="A35" s="6"/>
      <c r="B35" s="6"/>
      <c r="C35" s="6"/>
      <c r="D35" s="6"/>
      <c r="E35" s="21"/>
      <c r="F35" s="33"/>
      <c r="G35" s="6"/>
    </row>
    <row r="36" spans="1:8" x14ac:dyDescent="0.25">
      <c r="A36" s="4" t="s">
        <v>0</v>
      </c>
      <c r="B36" s="4" t="s">
        <v>73</v>
      </c>
      <c r="C36" s="4" t="s">
        <v>1</v>
      </c>
      <c r="D36" s="4" t="s">
        <v>2</v>
      </c>
      <c r="E36" s="5" t="s">
        <v>3</v>
      </c>
      <c r="F36" s="31" t="s">
        <v>4</v>
      </c>
      <c r="G36" s="4" t="s">
        <v>5</v>
      </c>
    </row>
    <row r="37" spans="1:8" x14ac:dyDescent="0.25">
      <c r="A37" s="1">
        <v>1</v>
      </c>
      <c r="B37" s="1">
        <v>20</v>
      </c>
      <c r="C37" s="1" t="s">
        <v>89</v>
      </c>
      <c r="D37" s="1" t="s">
        <v>120</v>
      </c>
      <c r="E37" s="3" t="s">
        <v>91</v>
      </c>
      <c r="F37" s="32" t="s">
        <v>1908</v>
      </c>
      <c r="G37" s="1" t="s">
        <v>121</v>
      </c>
    </row>
    <row r="38" spans="1:8" x14ac:dyDescent="0.25">
      <c r="F38" s="29"/>
    </row>
    <row r="39" spans="1:8" x14ac:dyDescent="0.25">
      <c r="A39" s="4" t="s">
        <v>0</v>
      </c>
      <c r="B39" s="4" t="s">
        <v>73</v>
      </c>
      <c r="C39" s="4" t="s">
        <v>1</v>
      </c>
      <c r="D39" s="4" t="s">
        <v>2</v>
      </c>
      <c r="E39" s="5" t="s">
        <v>3</v>
      </c>
      <c r="F39" s="31" t="s">
        <v>4</v>
      </c>
      <c r="G39" s="4" t="s">
        <v>5</v>
      </c>
      <c r="H39" s="4" t="s">
        <v>72</v>
      </c>
    </row>
    <row r="40" spans="1:8" x14ac:dyDescent="0.25">
      <c r="A40" s="1">
        <v>1</v>
      </c>
      <c r="B40">
        <f t="shared" ref="B40:B44" si="1">IF(H40=1,MAX(21-A40,0),0)</f>
        <v>0</v>
      </c>
      <c r="C40" t="s">
        <v>1792</v>
      </c>
      <c r="D40" t="s">
        <v>1239</v>
      </c>
      <c r="E40" t="s">
        <v>1260</v>
      </c>
      <c r="F40" s="27">
        <v>1.2234837962962963E-2</v>
      </c>
      <c r="G40" s="1" t="s">
        <v>124</v>
      </c>
      <c r="H40" s="6">
        <f>COUNTIF(ValidTeams[],E40)</f>
        <v>0</v>
      </c>
    </row>
    <row r="41" spans="1:8" x14ac:dyDescent="0.25">
      <c r="A41" s="1">
        <v>2</v>
      </c>
      <c r="B41">
        <f t="shared" si="1"/>
        <v>0</v>
      </c>
      <c r="C41" t="s">
        <v>1867</v>
      </c>
      <c r="D41" t="s">
        <v>1678</v>
      </c>
      <c r="E41" t="s">
        <v>1679</v>
      </c>
      <c r="F41" s="27">
        <v>1.2832986111111113E-2</v>
      </c>
      <c r="G41" s="1" t="s">
        <v>124</v>
      </c>
      <c r="H41" s="6">
        <f>COUNTIF(ValidTeams[],E41)</f>
        <v>0</v>
      </c>
    </row>
    <row r="42" spans="1:8" x14ac:dyDescent="0.25">
      <c r="A42">
        <v>3</v>
      </c>
      <c r="B42">
        <f t="shared" si="1"/>
        <v>18</v>
      </c>
      <c r="C42" t="s">
        <v>1868</v>
      </c>
      <c r="D42" t="s">
        <v>126</v>
      </c>
      <c r="E42" t="s">
        <v>18</v>
      </c>
      <c r="F42" s="27">
        <v>1.3005671296296296E-2</v>
      </c>
      <c r="G42" t="s">
        <v>124</v>
      </c>
      <c r="H42">
        <f>COUNTIF(ValidTeams[],E42)</f>
        <v>1</v>
      </c>
    </row>
    <row r="43" spans="1:8" x14ac:dyDescent="0.25">
      <c r="A43">
        <v>4</v>
      </c>
      <c r="B43">
        <f t="shared" si="1"/>
        <v>17</v>
      </c>
      <c r="C43" t="s">
        <v>1869</v>
      </c>
      <c r="D43" t="s">
        <v>123</v>
      </c>
      <c r="E43" t="s">
        <v>12</v>
      </c>
      <c r="F43" s="27">
        <v>1.3114467592592592E-2</v>
      </c>
      <c r="G43" t="s">
        <v>124</v>
      </c>
      <c r="H43">
        <f>COUNTIF(ValidTeams[],E43)</f>
        <v>1</v>
      </c>
    </row>
    <row r="44" spans="1:8" x14ac:dyDescent="0.25">
      <c r="A44">
        <v>5</v>
      </c>
      <c r="B44">
        <f t="shared" si="1"/>
        <v>0</v>
      </c>
      <c r="C44" t="s">
        <v>1870</v>
      </c>
      <c r="D44" t="s">
        <v>1567</v>
      </c>
      <c r="E44"/>
      <c r="F44" s="27">
        <v>1.6722569444444443E-2</v>
      </c>
      <c r="G44" t="s">
        <v>124</v>
      </c>
      <c r="H44">
        <f>COUNTIF(ValidTeams[],E44)</f>
        <v>0</v>
      </c>
    </row>
    <row r="45" spans="1:8" x14ac:dyDescent="0.25">
      <c r="A45" s="6"/>
      <c r="B45" s="34"/>
      <c r="C45" s="6"/>
      <c r="D45" s="6"/>
      <c r="E45" s="21"/>
      <c r="F45" s="33"/>
      <c r="G45" s="6"/>
      <c r="H45" s="34"/>
    </row>
    <row r="46" spans="1:8" x14ac:dyDescent="0.25">
      <c r="A46" s="4" t="s">
        <v>0</v>
      </c>
      <c r="B46" s="4" t="s">
        <v>73</v>
      </c>
      <c r="C46" s="4" t="s">
        <v>1</v>
      </c>
      <c r="D46" s="4" t="s">
        <v>2</v>
      </c>
      <c r="E46" s="5" t="s">
        <v>3</v>
      </c>
      <c r="F46" s="31" t="s">
        <v>4</v>
      </c>
      <c r="G46" s="4" t="s">
        <v>5</v>
      </c>
      <c r="H46" s="4" t="s">
        <v>72</v>
      </c>
    </row>
    <row r="47" spans="1:8" x14ac:dyDescent="0.25">
      <c r="A47" s="1">
        <v>1</v>
      </c>
      <c r="B47">
        <f t="shared" ref="B47:B51" si="2">IF(H47=1,MAX(21-A47,0),0)</f>
        <v>20</v>
      </c>
      <c r="C47" t="s">
        <v>1787</v>
      </c>
      <c r="D47" t="s">
        <v>7</v>
      </c>
      <c r="E47" t="s">
        <v>34</v>
      </c>
      <c r="F47" s="27">
        <v>1.2258912037037037E-2</v>
      </c>
      <c r="G47" s="1" t="s">
        <v>135</v>
      </c>
      <c r="H47" s="6">
        <f>COUNTIF(ValidTeams[],E47)</f>
        <v>1</v>
      </c>
    </row>
    <row r="48" spans="1:8" x14ac:dyDescent="0.25">
      <c r="A48" s="1">
        <v>2</v>
      </c>
      <c r="B48">
        <f t="shared" si="2"/>
        <v>19</v>
      </c>
      <c r="C48" t="s">
        <v>1871</v>
      </c>
      <c r="D48" t="s">
        <v>595</v>
      </c>
      <c r="E48" t="s">
        <v>1872</v>
      </c>
      <c r="F48" s="27">
        <v>1.2746875E-2</v>
      </c>
      <c r="G48" s="1" t="s">
        <v>135</v>
      </c>
      <c r="H48" s="6">
        <f>COUNTIF(ValidTeams[],E48)</f>
        <v>1</v>
      </c>
    </row>
    <row r="49" spans="1:8" x14ac:dyDescent="0.25">
      <c r="A49" s="1">
        <v>3</v>
      </c>
      <c r="B49">
        <f t="shared" si="2"/>
        <v>18</v>
      </c>
      <c r="C49" t="s">
        <v>1873</v>
      </c>
      <c r="D49" t="s">
        <v>244</v>
      </c>
      <c r="E49" t="s">
        <v>12</v>
      </c>
      <c r="F49" s="27">
        <v>1.3226041666666667E-2</v>
      </c>
      <c r="G49" s="1" t="s">
        <v>135</v>
      </c>
      <c r="H49" s="6">
        <f>COUNTIF(ValidTeams[],E49)</f>
        <v>1</v>
      </c>
    </row>
    <row r="50" spans="1:8" x14ac:dyDescent="0.25">
      <c r="A50" s="1">
        <v>4</v>
      </c>
      <c r="B50">
        <f t="shared" si="2"/>
        <v>17</v>
      </c>
      <c r="C50" t="s">
        <v>1874</v>
      </c>
      <c r="D50" t="s">
        <v>595</v>
      </c>
      <c r="E50" t="s">
        <v>18</v>
      </c>
      <c r="F50" s="27">
        <v>1.3461226851851851E-2</v>
      </c>
      <c r="G50" s="1" t="s">
        <v>135</v>
      </c>
      <c r="H50" s="6">
        <f>COUNTIF(ValidTeams[],E50)</f>
        <v>1</v>
      </c>
    </row>
    <row r="51" spans="1:8" x14ac:dyDescent="0.25">
      <c r="A51">
        <v>5</v>
      </c>
      <c r="B51">
        <f t="shared" si="2"/>
        <v>16</v>
      </c>
      <c r="C51" t="s">
        <v>1875</v>
      </c>
      <c r="D51" t="s">
        <v>170</v>
      </c>
      <c r="E51" t="s">
        <v>171</v>
      </c>
      <c r="F51" s="27">
        <v>1.5332523148148147E-2</v>
      </c>
      <c r="G51" t="s">
        <v>135</v>
      </c>
      <c r="H51">
        <f>COUNTIF(ValidTeams[],E51)</f>
        <v>1</v>
      </c>
    </row>
    <row r="52" spans="1:8" x14ac:dyDescent="0.25">
      <c r="A52" s="6"/>
      <c r="B52" s="34"/>
      <c r="C52" s="6"/>
      <c r="D52" s="6"/>
      <c r="E52" s="21"/>
      <c r="F52" s="33"/>
      <c r="G52" s="6"/>
      <c r="H52" s="34"/>
    </row>
    <row r="53" spans="1:8" x14ac:dyDescent="0.25">
      <c r="A53" s="4" t="s">
        <v>0</v>
      </c>
      <c r="B53" s="4" t="s">
        <v>73</v>
      </c>
      <c r="C53" s="4" t="s">
        <v>1</v>
      </c>
      <c r="D53" s="4" t="s">
        <v>2</v>
      </c>
      <c r="E53" s="5" t="s">
        <v>3</v>
      </c>
      <c r="F53" s="31" t="s">
        <v>4</v>
      </c>
      <c r="G53" s="4" t="s">
        <v>5</v>
      </c>
      <c r="H53" s="4" t="s">
        <v>72</v>
      </c>
    </row>
    <row r="54" spans="1:8" x14ac:dyDescent="0.25">
      <c r="A54" s="1">
        <v>1</v>
      </c>
      <c r="B54">
        <f t="shared" ref="B54:B65" si="3">IF(H54=1,MAX(21-A54,0),0)</f>
        <v>20</v>
      </c>
      <c r="C54" t="s">
        <v>1847</v>
      </c>
      <c r="D54" t="s">
        <v>176</v>
      </c>
      <c r="E54" t="s">
        <v>1848</v>
      </c>
      <c r="F54" s="27">
        <v>1.2425231481481482E-2</v>
      </c>
      <c r="G54" s="1" t="s">
        <v>178</v>
      </c>
      <c r="H54" s="6">
        <f>COUNTIF(ValidTeams[],E54)</f>
        <v>1</v>
      </c>
    </row>
    <row r="55" spans="1:8" x14ac:dyDescent="0.25">
      <c r="A55" s="1">
        <v>2</v>
      </c>
      <c r="B55">
        <f t="shared" si="3"/>
        <v>19</v>
      </c>
      <c r="C55" t="s">
        <v>1876</v>
      </c>
      <c r="D55" t="s">
        <v>184</v>
      </c>
      <c r="E55" t="s">
        <v>100</v>
      </c>
      <c r="F55" s="27">
        <v>1.2462152777777777E-2</v>
      </c>
      <c r="G55" s="1" t="s">
        <v>178</v>
      </c>
      <c r="H55" s="6">
        <f>COUNTIF(ValidTeams[],E55)</f>
        <v>1</v>
      </c>
    </row>
    <row r="56" spans="1:8" x14ac:dyDescent="0.25">
      <c r="A56" s="1">
        <v>3</v>
      </c>
      <c r="B56">
        <f t="shared" si="3"/>
        <v>18</v>
      </c>
      <c r="C56" t="s">
        <v>1796</v>
      </c>
      <c r="D56" t="s">
        <v>187</v>
      </c>
      <c r="E56" t="s">
        <v>8</v>
      </c>
      <c r="F56" s="27">
        <v>1.2482870370370368E-2</v>
      </c>
      <c r="G56" s="1" t="s">
        <v>178</v>
      </c>
      <c r="H56" s="6">
        <f>COUNTIF(ValidTeams[],E56)</f>
        <v>1</v>
      </c>
    </row>
    <row r="57" spans="1:8" x14ac:dyDescent="0.25">
      <c r="A57" s="1">
        <v>4</v>
      </c>
      <c r="B57">
        <f t="shared" si="3"/>
        <v>17</v>
      </c>
      <c r="C57" t="s">
        <v>1795</v>
      </c>
      <c r="D57" t="s">
        <v>24</v>
      </c>
      <c r="E57" t="s">
        <v>100</v>
      </c>
      <c r="F57" s="27">
        <v>1.2540625E-2</v>
      </c>
      <c r="G57" s="1" t="s">
        <v>178</v>
      </c>
      <c r="H57" s="6">
        <f>COUNTIF(ValidTeams[],E57)</f>
        <v>1</v>
      </c>
    </row>
    <row r="58" spans="1:8" x14ac:dyDescent="0.25">
      <c r="A58" s="1">
        <v>5</v>
      </c>
      <c r="B58">
        <f t="shared" si="3"/>
        <v>16</v>
      </c>
      <c r="C58" t="s">
        <v>1797</v>
      </c>
      <c r="D58" t="s">
        <v>817</v>
      </c>
      <c r="E58" t="s">
        <v>1798</v>
      </c>
      <c r="F58" s="27">
        <v>1.259513888888889E-2</v>
      </c>
      <c r="G58" s="1" t="s">
        <v>178</v>
      </c>
      <c r="H58" s="6">
        <f>COUNTIF(ValidTeams[],E58)</f>
        <v>1</v>
      </c>
    </row>
    <row r="59" spans="1:8" x14ac:dyDescent="0.25">
      <c r="A59" s="1">
        <v>6</v>
      </c>
      <c r="B59">
        <f t="shared" si="3"/>
        <v>15</v>
      </c>
      <c r="C59" t="s">
        <v>1877</v>
      </c>
      <c r="D59" t="s">
        <v>194</v>
      </c>
      <c r="E59" t="s">
        <v>1878</v>
      </c>
      <c r="F59" s="27">
        <v>1.3116898148148147E-2</v>
      </c>
      <c r="G59" s="1" t="s">
        <v>178</v>
      </c>
      <c r="H59" s="6">
        <f>COUNTIF(ValidTeams[],E59)</f>
        <v>1</v>
      </c>
    </row>
    <row r="60" spans="1:8" x14ac:dyDescent="0.25">
      <c r="A60" s="1">
        <v>7</v>
      </c>
      <c r="B60">
        <f t="shared" si="3"/>
        <v>14</v>
      </c>
      <c r="C60" t="s">
        <v>1803</v>
      </c>
      <c r="D60" t="s">
        <v>128</v>
      </c>
      <c r="E60" t="s">
        <v>38</v>
      </c>
      <c r="F60" s="27">
        <v>1.3241666666666667E-2</v>
      </c>
      <c r="G60" s="1" t="s">
        <v>178</v>
      </c>
      <c r="H60" s="6">
        <f>COUNTIF(ValidTeams[],E60)</f>
        <v>1</v>
      </c>
    </row>
    <row r="61" spans="1:8" x14ac:dyDescent="0.25">
      <c r="A61" s="1">
        <v>8</v>
      </c>
      <c r="B61">
        <f t="shared" si="3"/>
        <v>13</v>
      </c>
      <c r="C61" t="s">
        <v>1808</v>
      </c>
      <c r="D61" t="s">
        <v>601</v>
      </c>
      <c r="E61" t="s">
        <v>691</v>
      </c>
      <c r="F61" s="27">
        <v>1.3666898148148149E-2</v>
      </c>
      <c r="G61" s="1" t="s">
        <v>178</v>
      </c>
      <c r="H61" s="6">
        <f>COUNTIF(ValidTeams[],E61)</f>
        <v>1</v>
      </c>
    </row>
    <row r="62" spans="1:8" x14ac:dyDescent="0.25">
      <c r="A62" s="1">
        <v>9</v>
      </c>
      <c r="B62">
        <f t="shared" si="3"/>
        <v>0</v>
      </c>
      <c r="C62" t="s">
        <v>1879</v>
      </c>
      <c r="D62" t="s">
        <v>1410</v>
      </c>
      <c r="E62"/>
      <c r="F62" s="27">
        <v>1.3738425925925926E-2</v>
      </c>
      <c r="G62" s="1" t="s">
        <v>178</v>
      </c>
      <c r="H62" s="6">
        <f>COUNTIF(ValidTeams[],E62)</f>
        <v>0</v>
      </c>
    </row>
    <row r="63" spans="1:8" x14ac:dyDescent="0.25">
      <c r="A63" s="1">
        <v>10</v>
      </c>
      <c r="B63">
        <f t="shared" si="3"/>
        <v>11</v>
      </c>
      <c r="C63" t="s">
        <v>1806</v>
      </c>
      <c r="D63" t="s">
        <v>599</v>
      </c>
      <c r="E63" t="s">
        <v>345</v>
      </c>
      <c r="F63" s="27">
        <v>1.390613425925926E-2</v>
      </c>
      <c r="G63" s="1" t="s">
        <v>178</v>
      </c>
      <c r="H63" s="6">
        <f>COUNTIF(ValidTeams[],E63)</f>
        <v>1</v>
      </c>
    </row>
    <row r="64" spans="1:8" x14ac:dyDescent="0.25">
      <c r="A64" s="1">
        <v>11</v>
      </c>
      <c r="B64">
        <f t="shared" si="3"/>
        <v>0</v>
      </c>
      <c r="C64" t="s">
        <v>1880</v>
      </c>
      <c r="D64" t="s">
        <v>33</v>
      </c>
      <c r="E64" t="s">
        <v>210</v>
      </c>
      <c r="F64" s="27">
        <v>1.4464583333333334E-2</v>
      </c>
      <c r="G64" s="1" t="s">
        <v>178</v>
      </c>
      <c r="H64" s="6">
        <f>COUNTIF(ValidTeams[],E64)</f>
        <v>0</v>
      </c>
    </row>
    <row r="65" spans="1:8" x14ac:dyDescent="0.25">
      <c r="A65" s="1">
        <v>12</v>
      </c>
      <c r="B65">
        <f t="shared" si="3"/>
        <v>0</v>
      </c>
      <c r="C65" t="s">
        <v>1881</v>
      </c>
      <c r="D65" t="s">
        <v>250</v>
      </c>
      <c r="E65" t="s">
        <v>1882</v>
      </c>
      <c r="F65" s="27">
        <v>1.5289583333333334E-2</v>
      </c>
      <c r="G65" s="1" t="s">
        <v>178</v>
      </c>
      <c r="H65" s="6">
        <f>COUNTIF(ValidTeams[],E65)</f>
        <v>0</v>
      </c>
    </row>
    <row r="66" spans="1:8" x14ac:dyDescent="0.25">
      <c r="A66" s="1">
        <v>13</v>
      </c>
      <c r="B66" s="24">
        <f t="shared" ref="B66:B67" si="4">IF(H66=1,MAX(21-A66,0),0)</f>
        <v>0</v>
      </c>
      <c r="C66" t="s">
        <v>1844</v>
      </c>
      <c r="D66" t="s">
        <v>1567</v>
      </c>
      <c r="E66"/>
      <c r="F66" s="27">
        <v>1.6111921296296298E-2</v>
      </c>
      <c r="G66" s="1" t="s">
        <v>178</v>
      </c>
      <c r="H66" s="24">
        <f>COUNTIF(ValidTeams[],E66)</f>
        <v>0</v>
      </c>
    </row>
    <row r="67" spans="1:8" x14ac:dyDescent="0.25">
      <c r="A67" s="6">
        <v>14</v>
      </c>
      <c r="B67" s="34">
        <f t="shared" si="4"/>
        <v>7</v>
      </c>
      <c r="C67" t="s">
        <v>1883</v>
      </c>
      <c r="D67" t="s">
        <v>310</v>
      </c>
      <c r="E67" t="s">
        <v>91</v>
      </c>
      <c r="F67" s="27">
        <v>1.8867939814814817E-2</v>
      </c>
      <c r="G67" s="1" t="s">
        <v>178</v>
      </c>
      <c r="H67" s="34">
        <f>COUNTIF(ValidTeams[],E67)</f>
        <v>1</v>
      </c>
    </row>
    <row r="68" spans="1:8" x14ac:dyDescent="0.25">
      <c r="F68" s="29"/>
    </row>
    <row r="69" spans="1:8" x14ac:dyDescent="0.25">
      <c r="A69" s="4" t="s">
        <v>0</v>
      </c>
      <c r="B69" s="4" t="s">
        <v>73</v>
      </c>
      <c r="C69" s="4" t="s">
        <v>1</v>
      </c>
      <c r="D69" s="4" t="s">
        <v>2</v>
      </c>
      <c r="E69" s="5" t="s">
        <v>3</v>
      </c>
      <c r="F69" s="31" t="s">
        <v>4</v>
      </c>
      <c r="G69" s="4" t="s">
        <v>5</v>
      </c>
      <c r="H69" s="4" t="s">
        <v>72</v>
      </c>
    </row>
    <row r="70" spans="1:8" x14ac:dyDescent="0.25">
      <c r="A70" s="1">
        <v>1</v>
      </c>
      <c r="B70">
        <f t="shared" ref="B70:B76" si="5">IF(H70=1,MAX(21-A70,0),0)</f>
        <v>20</v>
      </c>
      <c r="C70" t="s">
        <v>1884</v>
      </c>
      <c r="D70" t="s">
        <v>1885</v>
      </c>
      <c r="E70" t="s">
        <v>18</v>
      </c>
      <c r="F70" s="27">
        <v>1.257939814814815E-2</v>
      </c>
      <c r="G70" s="1" t="s">
        <v>217</v>
      </c>
      <c r="H70" s="6">
        <f>COUNTIF(ValidTeams[],E70)</f>
        <v>1</v>
      </c>
    </row>
    <row r="71" spans="1:8" x14ac:dyDescent="0.25">
      <c r="A71" s="1">
        <v>2</v>
      </c>
      <c r="B71">
        <f t="shared" si="5"/>
        <v>0</v>
      </c>
      <c r="C71" t="s">
        <v>1886</v>
      </c>
      <c r="D71" t="s">
        <v>23</v>
      </c>
      <c r="E71" t="s">
        <v>1595</v>
      </c>
      <c r="F71" s="27">
        <v>1.2787615740740742E-2</v>
      </c>
      <c r="G71" s="1" t="s">
        <v>217</v>
      </c>
      <c r="H71" s="6">
        <f>COUNTIF(ValidTeams[],E71)</f>
        <v>0</v>
      </c>
    </row>
    <row r="72" spans="1:8" x14ac:dyDescent="0.25">
      <c r="A72" s="1">
        <v>3</v>
      </c>
      <c r="B72">
        <f t="shared" si="5"/>
        <v>18</v>
      </c>
      <c r="C72" t="s">
        <v>1887</v>
      </c>
      <c r="D72" t="s">
        <v>215</v>
      </c>
      <c r="E72" t="s">
        <v>18</v>
      </c>
      <c r="F72" s="27">
        <v>1.2797222222222224E-2</v>
      </c>
      <c r="G72" s="1" t="s">
        <v>217</v>
      </c>
      <c r="H72" s="6">
        <f>COUNTIF(ValidTeams[],E72)</f>
        <v>1</v>
      </c>
    </row>
    <row r="73" spans="1:8" x14ac:dyDescent="0.25">
      <c r="A73" s="1">
        <v>4</v>
      </c>
      <c r="B73">
        <f t="shared" si="5"/>
        <v>17</v>
      </c>
      <c r="C73" t="s">
        <v>1799</v>
      </c>
      <c r="D73" t="s">
        <v>221</v>
      </c>
      <c r="E73" t="s">
        <v>18</v>
      </c>
      <c r="F73" s="27">
        <v>1.287835648148148E-2</v>
      </c>
      <c r="G73" s="1" t="s">
        <v>217</v>
      </c>
      <c r="H73" s="6">
        <f>COUNTIF(ValidTeams[],E73)</f>
        <v>1</v>
      </c>
    </row>
    <row r="74" spans="1:8" x14ac:dyDescent="0.25">
      <c r="A74" s="1">
        <v>5</v>
      </c>
      <c r="B74">
        <f t="shared" si="5"/>
        <v>16</v>
      </c>
      <c r="C74" t="s">
        <v>1888</v>
      </c>
      <c r="D74" t="s">
        <v>114</v>
      </c>
      <c r="E74" t="s">
        <v>18</v>
      </c>
      <c r="F74" s="27">
        <v>1.3077199074074076E-2</v>
      </c>
      <c r="G74" s="1" t="s">
        <v>217</v>
      </c>
      <c r="H74" s="6">
        <f>COUNTIF(ValidTeams[],E74)</f>
        <v>1</v>
      </c>
    </row>
    <row r="75" spans="1:8" x14ac:dyDescent="0.25">
      <c r="A75" s="1">
        <v>6</v>
      </c>
      <c r="B75">
        <f t="shared" si="5"/>
        <v>15</v>
      </c>
      <c r="C75" t="s">
        <v>1813</v>
      </c>
      <c r="D75" t="s">
        <v>696</v>
      </c>
      <c r="E75" t="s">
        <v>18</v>
      </c>
      <c r="F75" s="27">
        <v>1.4611574074074074E-2</v>
      </c>
      <c r="G75" s="1" t="s">
        <v>217</v>
      </c>
      <c r="H75" s="6">
        <f>COUNTIF(ValidTeams[],E75)</f>
        <v>1</v>
      </c>
    </row>
    <row r="76" spans="1:8" x14ac:dyDescent="0.25">
      <c r="A76" s="1">
        <v>7</v>
      </c>
      <c r="B76">
        <f t="shared" si="5"/>
        <v>14</v>
      </c>
      <c r="C76" t="s">
        <v>1814</v>
      </c>
      <c r="D76" t="s">
        <v>237</v>
      </c>
      <c r="E76" t="s">
        <v>238</v>
      </c>
      <c r="F76" s="27">
        <v>1.4910648148148147E-2</v>
      </c>
      <c r="G76" s="1" t="s">
        <v>217</v>
      </c>
      <c r="H76" s="6">
        <f>COUNTIF(ValidTeams[],E76)</f>
        <v>1</v>
      </c>
    </row>
    <row r="77" spans="1:8" x14ac:dyDescent="0.25">
      <c r="A77" s="6"/>
      <c r="B77" s="34"/>
      <c r="C77" s="6"/>
      <c r="D77" s="6"/>
      <c r="E77" s="21"/>
      <c r="F77" s="33"/>
      <c r="G77" s="6"/>
      <c r="H77" s="34"/>
    </row>
    <row r="78" spans="1:8" x14ac:dyDescent="0.25">
      <c r="A78" s="4" t="s">
        <v>0</v>
      </c>
      <c r="B78" s="4" t="s">
        <v>73</v>
      </c>
      <c r="C78" s="4" t="s">
        <v>1</v>
      </c>
      <c r="D78" s="4" t="s">
        <v>2</v>
      </c>
      <c r="E78" s="5" t="s">
        <v>3</v>
      </c>
      <c r="F78" s="31" t="s">
        <v>4</v>
      </c>
      <c r="G78" s="4" t="s">
        <v>5</v>
      </c>
      <c r="H78" s="4" t="s">
        <v>72</v>
      </c>
    </row>
    <row r="79" spans="1:8" x14ac:dyDescent="0.25">
      <c r="A79" s="1">
        <v>1</v>
      </c>
      <c r="B79">
        <f t="shared" ref="B79:B83" si="6">IF(H79=1,MAX(21-A79,0),0)</f>
        <v>20</v>
      </c>
      <c r="C79" t="s">
        <v>1817</v>
      </c>
      <c r="D79" t="s">
        <v>20</v>
      </c>
      <c r="E79" t="s">
        <v>44</v>
      </c>
      <c r="F79" s="27">
        <v>1.3130324074074074E-2</v>
      </c>
      <c r="G79" s="1" t="s">
        <v>248</v>
      </c>
      <c r="H79" s="6">
        <f>COUNTIF(ValidTeams[],E79)</f>
        <v>1</v>
      </c>
    </row>
    <row r="80" spans="1:8" x14ac:dyDescent="0.25">
      <c r="A80" s="1">
        <v>2</v>
      </c>
      <c r="B80">
        <f t="shared" si="6"/>
        <v>19</v>
      </c>
      <c r="C80" t="s">
        <v>1819</v>
      </c>
      <c r="D80" t="s">
        <v>253</v>
      </c>
      <c r="E80" t="s">
        <v>254</v>
      </c>
      <c r="F80" s="27">
        <v>1.3867476851851851E-2</v>
      </c>
      <c r="G80" s="1" t="s">
        <v>248</v>
      </c>
      <c r="H80" s="6">
        <f>COUNTIF(ValidTeams[],E80)</f>
        <v>1</v>
      </c>
    </row>
    <row r="81" spans="1:8" x14ac:dyDescent="0.25">
      <c r="A81" s="1">
        <v>3</v>
      </c>
      <c r="B81">
        <f t="shared" si="6"/>
        <v>18</v>
      </c>
      <c r="C81" t="s">
        <v>1821</v>
      </c>
      <c r="D81" t="s">
        <v>257</v>
      </c>
      <c r="E81" t="s">
        <v>238</v>
      </c>
      <c r="F81" s="27">
        <v>1.5412268518518518E-2</v>
      </c>
      <c r="G81" s="1" t="s">
        <v>248</v>
      </c>
      <c r="H81" s="6">
        <f>COUNTIF(ValidTeams[],E81)</f>
        <v>1</v>
      </c>
    </row>
    <row r="82" spans="1:8" x14ac:dyDescent="0.25">
      <c r="A82">
        <v>4</v>
      </c>
      <c r="B82">
        <f t="shared" si="6"/>
        <v>17</v>
      </c>
      <c r="C82" t="s">
        <v>1820</v>
      </c>
      <c r="D82" t="s">
        <v>278</v>
      </c>
      <c r="E82" t="s">
        <v>100</v>
      </c>
      <c r="F82" s="27">
        <v>1.5557870370370369E-2</v>
      </c>
      <c r="G82" t="s">
        <v>248</v>
      </c>
      <c r="H82">
        <f>COUNTIF(ValidTeams[],E82)</f>
        <v>1</v>
      </c>
    </row>
    <row r="83" spans="1:8" x14ac:dyDescent="0.25">
      <c r="A83">
        <v>5</v>
      </c>
      <c r="B83">
        <f t="shared" si="6"/>
        <v>0</v>
      </c>
      <c r="C83" t="s">
        <v>1826</v>
      </c>
      <c r="D83" t="s">
        <v>263</v>
      </c>
      <c r="E83"/>
      <c r="F83" s="27">
        <v>1.5929745370370372E-2</v>
      </c>
      <c r="G83" t="s">
        <v>248</v>
      </c>
      <c r="H83">
        <f>COUNTIF(ValidTeams[],E83)</f>
        <v>0</v>
      </c>
    </row>
    <row r="84" spans="1:8" x14ac:dyDescent="0.25">
      <c r="A84" s="6"/>
      <c r="B84" s="34"/>
      <c r="C84" s="6"/>
      <c r="D84" s="6"/>
      <c r="E84" s="21"/>
      <c r="F84" s="33"/>
      <c r="G84" s="6"/>
      <c r="H84" s="34"/>
    </row>
    <row r="85" spans="1:8" x14ac:dyDescent="0.25">
      <c r="A85" s="4" t="s">
        <v>0</v>
      </c>
      <c r="B85" s="4" t="s">
        <v>73</v>
      </c>
      <c r="C85" s="4" t="s">
        <v>1</v>
      </c>
      <c r="D85" s="4" t="s">
        <v>2</v>
      </c>
      <c r="E85" s="5" t="s">
        <v>3</v>
      </c>
      <c r="F85" s="31" t="s">
        <v>4</v>
      </c>
      <c r="G85" s="4" t="s">
        <v>5</v>
      </c>
      <c r="H85" s="4" t="s">
        <v>72</v>
      </c>
    </row>
    <row r="86" spans="1:8" x14ac:dyDescent="0.25">
      <c r="A86" s="1">
        <v>1</v>
      </c>
      <c r="B86">
        <f t="shared" ref="B86:B93" si="7">IF(H86=1,MAX(21-A86,0),0)</f>
        <v>20</v>
      </c>
      <c r="C86" t="s">
        <v>1830</v>
      </c>
      <c r="D86" t="s">
        <v>24</v>
      </c>
      <c r="E86" t="s">
        <v>271</v>
      </c>
      <c r="F86" s="27">
        <v>1.2957291666666667E-2</v>
      </c>
      <c r="G86" s="1" t="s">
        <v>269</v>
      </c>
      <c r="H86" s="6">
        <f>COUNTIF(ValidTeams[],E86)</f>
        <v>1</v>
      </c>
    </row>
    <row r="87" spans="1:8" x14ac:dyDescent="0.25">
      <c r="A87" s="1">
        <v>2</v>
      </c>
      <c r="B87">
        <f t="shared" si="7"/>
        <v>19</v>
      </c>
      <c r="C87" t="s">
        <v>1831</v>
      </c>
      <c r="D87" t="s">
        <v>266</v>
      </c>
      <c r="E87" t="s">
        <v>267</v>
      </c>
      <c r="F87" s="27">
        <v>1.3247106481481481E-2</v>
      </c>
      <c r="G87" s="1" t="s">
        <v>269</v>
      </c>
      <c r="H87" s="6">
        <f>COUNTIF(ValidTeams[],E87)</f>
        <v>1</v>
      </c>
    </row>
    <row r="88" spans="1:8" x14ac:dyDescent="0.25">
      <c r="A88" s="1">
        <v>3</v>
      </c>
      <c r="B88">
        <f t="shared" si="7"/>
        <v>18</v>
      </c>
      <c r="C88" t="s">
        <v>1811</v>
      </c>
      <c r="D88" t="s">
        <v>278</v>
      </c>
      <c r="E88" t="s">
        <v>267</v>
      </c>
      <c r="F88" s="27">
        <v>1.4291550925925926E-2</v>
      </c>
      <c r="G88" s="1" t="s">
        <v>269</v>
      </c>
      <c r="H88" s="6">
        <f>COUNTIF(ValidTeams[],E88)</f>
        <v>1</v>
      </c>
    </row>
    <row r="89" spans="1:8" x14ac:dyDescent="0.25">
      <c r="A89" s="1">
        <v>4</v>
      </c>
      <c r="B89">
        <f t="shared" si="7"/>
        <v>0</v>
      </c>
      <c r="C89" t="s">
        <v>1832</v>
      </c>
      <c r="D89" t="s">
        <v>257</v>
      </c>
      <c r="E89"/>
      <c r="F89" s="27">
        <v>1.4352314814814813E-2</v>
      </c>
      <c r="G89" s="1" t="s">
        <v>269</v>
      </c>
      <c r="H89" s="6">
        <f>COUNTIF(ValidTeams[],E89)</f>
        <v>0</v>
      </c>
    </row>
    <row r="90" spans="1:8" x14ac:dyDescent="0.25">
      <c r="A90" s="1">
        <v>5</v>
      </c>
      <c r="B90">
        <f t="shared" si="7"/>
        <v>16</v>
      </c>
      <c r="C90" t="s">
        <v>1833</v>
      </c>
      <c r="D90" t="s">
        <v>174</v>
      </c>
      <c r="E90" t="s">
        <v>290</v>
      </c>
      <c r="F90" s="27">
        <v>1.4506018518518517E-2</v>
      </c>
      <c r="G90" s="1" t="s">
        <v>269</v>
      </c>
      <c r="H90" s="6">
        <f>COUNTIF(ValidTeams[],E90)</f>
        <v>1</v>
      </c>
    </row>
    <row r="91" spans="1:8" x14ac:dyDescent="0.25">
      <c r="A91" s="1">
        <v>6</v>
      </c>
      <c r="B91">
        <f t="shared" si="7"/>
        <v>0</v>
      </c>
      <c r="C91" t="s">
        <v>1834</v>
      </c>
      <c r="D91" t="s">
        <v>837</v>
      </c>
      <c r="E91" t="s">
        <v>1486</v>
      </c>
      <c r="F91" s="27">
        <v>1.5251851851851852E-2</v>
      </c>
      <c r="G91" s="1" t="s">
        <v>269</v>
      </c>
      <c r="H91" s="6">
        <f>COUNTIF(ValidTeams[],E91)</f>
        <v>0</v>
      </c>
    </row>
    <row r="92" spans="1:8" x14ac:dyDescent="0.25">
      <c r="A92" s="1">
        <v>7</v>
      </c>
      <c r="B92">
        <f t="shared" si="7"/>
        <v>0</v>
      </c>
      <c r="C92" t="s">
        <v>1836</v>
      </c>
      <c r="D92" t="s">
        <v>1837</v>
      </c>
      <c r="E92" t="s">
        <v>1835</v>
      </c>
      <c r="F92" s="27">
        <v>1.6873032407407406E-2</v>
      </c>
      <c r="G92" s="1" t="s">
        <v>269</v>
      </c>
      <c r="H92" s="6">
        <f>COUNTIF(ValidTeams[],E92)</f>
        <v>0</v>
      </c>
    </row>
    <row r="93" spans="1:8" x14ac:dyDescent="0.25">
      <c r="A93" s="1">
        <v>8</v>
      </c>
      <c r="B93">
        <f t="shared" si="7"/>
        <v>13</v>
      </c>
      <c r="C93" t="s">
        <v>1838</v>
      </c>
      <c r="D93" t="s">
        <v>281</v>
      </c>
      <c r="E93" t="s">
        <v>100</v>
      </c>
      <c r="F93" s="27">
        <v>1.8192824074074073E-2</v>
      </c>
      <c r="G93" s="1" t="s">
        <v>269</v>
      </c>
      <c r="H93" s="6">
        <f>COUNTIF(ValidTeams[],E93)</f>
        <v>1</v>
      </c>
    </row>
    <row r="94" spans="1:8" x14ac:dyDescent="0.25">
      <c r="F94" s="29"/>
    </row>
    <row r="95" spans="1:8" x14ac:dyDescent="0.25">
      <c r="A95" s="4" t="s">
        <v>0</v>
      </c>
      <c r="B95" s="4" t="s">
        <v>73</v>
      </c>
      <c r="C95" s="4" t="s">
        <v>1</v>
      </c>
      <c r="D95" s="4" t="s">
        <v>2</v>
      </c>
      <c r="E95" s="5" t="s">
        <v>3</v>
      </c>
      <c r="F95" s="31" t="s">
        <v>4</v>
      </c>
      <c r="G95" s="4" t="s">
        <v>5</v>
      </c>
      <c r="H95" s="4" t="s">
        <v>72</v>
      </c>
    </row>
    <row r="96" spans="1:8" x14ac:dyDescent="0.25">
      <c r="A96" s="1">
        <v>1</v>
      </c>
      <c r="B96">
        <f t="shared" ref="B96:B98" si="8">IF(H96=1,MAX(21-A96,0),0)</f>
        <v>20</v>
      </c>
      <c r="C96" t="s">
        <v>1890</v>
      </c>
      <c r="D96" t="s">
        <v>330</v>
      </c>
      <c r="E96" t="s">
        <v>441</v>
      </c>
      <c r="F96" s="27">
        <v>1.4711458333333332E-2</v>
      </c>
      <c r="G96" s="1" t="s">
        <v>331</v>
      </c>
      <c r="H96" s="6">
        <f>COUNTIF(ValidTeams[],E96)</f>
        <v>1</v>
      </c>
    </row>
    <row r="97" spans="1:8" x14ac:dyDescent="0.25">
      <c r="A97" s="1">
        <v>2</v>
      </c>
      <c r="B97">
        <f t="shared" si="8"/>
        <v>0</v>
      </c>
      <c r="C97" t="s">
        <v>1891</v>
      </c>
      <c r="D97" t="s">
        <v>1892</v>
      </c>
      <c r="E97" t="s">
        <v>1893</v>
      </c>
      <c r="F97" s="27">
        <v>1.572789351851852E-2</v>
      </c>
      <c r="G97" s="1" t="s">
        <v>331</v>
      </c>
      <c r="H97" s="6">
        <f>COUNTIF(ValidTeams[],E97)</f>
        <v>0</v>
      </c>
    </row>
    <row r="98" spans="1:8" x14ac:dyDescent="0.25">
      <c r="A98" s="1">
        <v>3</v>
      </c>
      <c r="B98">
        <f t="shared" si="8"/>
        <v>18</v>
      </c>
      <c r="C98" t="s">
        <v>1789</v>
      </c>
      <c r="D98" t="s">
        <v>341</v>
      </c>
      <c r="E98" t="s">
        <v>8</v>
      </c>
      <c r="F98" s="27">
        <v>1.6199999999999999E-2</v>
      </c>
      <c r="G98" s="1" t="s">
        <v>331</v>
      </c>
      <c r="H98" s="6">
        <f>COUNTIF(ValidTeams[],E98)</f>
        <v>1</v>
      </c>
    </row>
    <row r="99" spans="1:8" x14ac:dyDescent="0.25">
      <c r="A99" s="1">
        <v>4</v>
      </c>
      <c r="B99" s="1">
        <f t="shared" ref="B99:B100" si="9">IF(H99=1,MAX(21-A99,0),0)</f>
        <v>17</v>
      </c>
      <c r="C99" t="s">
        <v>1894</v>
      </c>
      <c r="D99" t="s">
        <v>352</v>
      </c>
      <c r="E99" t="s">
        <v>38</v>
      </c>
      <c r="F99" s="27">
        <v>1.8616087962962963E-2</v>
      </c>
      <c r="G99" s="1" t="s">
        <v>331</v>
      </c>
      <c r="H99" s="24">
        <f>COUNTIF(ValidTeams[],E99)</f>
        <v>1</v>
      </c>
    </row>
    <row r="100" spans="1:8" x14ac:dyDescent="0.25">
      <c r="A100" s="6">
        <v>5</v>
      </c>
      <c r="B100" s="6">
        <f t="shared" si="9"/>
        <v>0</v>
      </c>
      <c r="C100" t="s">
        <v>1895</v>
      </c>
      <c r="D100" t="s">
        <v>911</v>
      </c>
      <c r="E100" t="s">
        <v>912</v>
      </c>
      <c r="F100" s="27">
        <v>1.873611111111111E-2</v>
      </c>
      <c r="G100" s="1" t="s">
        <v>331</v>
      </c>
      <c r="H100" s="34">
        <f>COUNTIF(ValidTeams[],E100)</f>
        <v>0</v>
      </c>
    </row>
    <row r="101" spans="1:8" x14ac:dyDescent="0.25">
      <c r="A101" s="6"/>
      <c r="B101" s="6"/>
      <c r="C101" s="6"/>
      <c r="D101" s="6"/>
      <c r="E101" s="21"/>
      <c r="F101" s="33"/>
      <c r="G101" s="6"/>
      <c r="H101" s="34"/>
    </row>
    <row r="102" spans="1:8" x14ac:dyDescent="0.25">
      <c r="A102" s="4" t="s">
        <v>0</v>
      </c>
      <c r="B102" s="4" t="s">
        <v>73</v>
      </c>
      <c r="C102" s="4" t="s">
        <v>1</v>
      </c>
      <c r="D102" s="4" t="s">
        <v>2</v>
      </c>
      <c r="E102" s="5" t="s">
        <v>3</v>
      </c>
      <c r="F102" s="31" t="s">
        <v>4</v>
      </c>
      <c r="G102" s="4" t="s">
        <v>5</v>
      </c>
      <c r="H102" s="4" t="s">
        <v>72</v>
      </c>
    </row>
    <row r="103" spans="1:8" x14ac:dyDescent="0.25">
      <c r="A103" s="1">
        <v>1</v>
      </c>
      <c r="B103">
        <f t="shared" ref="B103:B107" si="10">IF(H103=1,MAX(21-A103,0),0)</f>
        <v>0</v>
      </c>
      <c r="C103" t="s">
        <v>1815</v>
      </c>
      <c r="D103" t="s">
        <v>281</v>
      </c>
      <c r="E103"/>
      <c r="F103" s="27">
        <v>1.2687962962962963E-2</v>
      </c>
      <c r="G103" s="1" t="s">
        <v>363</v>
      </c>
      <c r="H103" s="6">
        <f>COUNTIF(ValidTeams[],E103)</f>
        <v>0</v>
      </c>
    </row>
    <row r="104" spans="1:8" x14ac:dyDescent="0.25">
      <c r="A104" s="1">
        <v>2</v>
      </c>
      <c r="B104">
        <f t="shared" si="10"/>
        <v>19</v>
      </c>
      <c r="C104" t="s">
        <v>1846</v>
      </c>
      <c r="D104" t="s">
        <v>23</v>
      </c>
      <c r="E104" t="s">
        <v>452</v>
      </c>
      <c r="F104" s="27">
        <v>1.3326157407407406E-2</v>
      </c>
      <c r="G104" s="1" t="s">
        <v>363</v>
      </c>
      <c r="H104" s="6">
        <f>COUNTIF(ValidTeams[],E104)</f>
        <v>1</v>
      </c>
    </row>
    <row r="105" spans="1:8" x14ac:dyDescent="0.25">
      <c r="A105" s="1">
        <v>3</v>
      </c>
      <c r="B105">
        <f t="shared" si="10"/>
        <v>18</v>
      </c>
      <c r="C105" t="s">
        <v>1847</v>
      </c>
      <c r="D105" t="s">
        <v>176</v>
      </c>
      <c r="E105" t="s">
        <v>442</v>
      </c>
      <c r="F105" s="27">
        <v>1.3473263888888887E-2</v>
      </c>
      <c r="G105" s="1" t="s">
        <v>363</v>
      </c>
      <c r="H105" s="6">
        <f>COUNTIF(ValidTeams[],E105)</f>
        <v>1</v>
      </c>
    </row>
    <row r="106" spans="1:8" x14ac:dyDescent="0.25">
      <c r="A106" s="1">
        <v>4</v>
      </c>
      <c r="B106">
        <f t="shared" si="10"/>
        <v>17</v>
      </c>
      <c r="C106" t="s">
        <v>1809</v>
      </c>
      <c r="D106" t="s">
        <v>281</v>
      </c>
      <c r="E106" t="s">
        <v>267</v>
      </c>
      <c r="F106" s="27">
        <v>1.4112615740740742E-2</v>
      </c>
      <c r="G106" s="1" t="s">
        <v>363</v>
      </c>
      <c r="H106" s="6">
        <f>COUNTIF(ValidTeams[],E106)</f>
        <v>1</v>
      </c>
    </row>
    <row r="107" spans="1:8" x14ac:dyDescent="0.25">
      <c r="A107" s="1">
        <v>5</v>
      </c>
      <c r="B107" s="1">
        <f t="shared" si="10"/>
        <v>0</v>
      </c>
      <c r="C107" t="s">
        <v>1849</v>
      </c>
      <c r="D107" t="s">
        <v>85</v>
      </c>
      <c r="E107"/>
      <c r="F107" s="27">
        <v>1.4710763888888888E-2</v>
      </c>
      <c r="G107" s="1" t="s">
        <v>363</v>
      </c>
      <c r="H107" s="24">
        <f>COUNTIF(ValidTeams[],E107)</f>
        <v>0</v>
      </c>
    </row>
    <row r="108" spans="1:8" x14ac:dyDescent="0.25">
      <c r="A108" s="6"/>
      <c r="B108" s="6"/>
      <c r="C108" s="6"/>
      <c r="D108" s="6"/>
      <c r="E108" s="21"/>
      <c r="F108" s="33"/>
      <c r="G108" s="6"/>
      <c r="H108" s="34"/>
    </row>
    <row r="109" spans="1:8" x14ac:dyDescent="0.25">
      <c r="A109" s="4" t="s">
        <v>0</v>
      </c>
      <c r="B109" s="4" t="s">
        <v>73</v>
      </c>
      <c r="C109" s="4" t="s">
        <v>1</v>
      </c>
      <c r="D109" s="4" t="s">
        <v>2</v>
      </c>
      <c r="E109" s="5" t="s">
        <v>3</v>
      </c>
      <c r="F109" s="31" t="s">
        <v>4</v>
      </c>
      <c r="G109" s="4" t="s">
        <v>5</v>
      </c>
      <c r="H109" s="4" t="s">
        <v>72</v>
      </c>
    </row>
    <row r="110" spans="1:8" x14ac:dyDescent="0.25">
      <c r="A110" s="1">
        <v>1</v>
      </c>
      <c r="B110">
        <f t="shared" ref="B110:B112" si="11">IF(H110=1,MAX(21-A110,0),0)</f>
        <v>20</v>
      </c>
      <c r="C110" t="s">
        <v>1898</v>
      </c>
      <c r="D110" t="s">
        <v>401</v>
      </c>
      <c r="E110" t="s">
        <v>290</v>
      </c>
      <c r="F110" s="27">
        <v>1.6887615740740741E-2</v>
      </c>
      <c r="G110" s="1" t="s">
        <v>399</v>
      </c>
      <c r="H110" s="6">
        <f>COUNTIF(ValidTeams[],E110)</f>
        <v>1</v>
      </c>
    </row>
    <row r="111" spans="1:8" x14ac:dyDescent="0.25">
      <c r="A111" s="1">
        <v>2</v>
      </c>
      <c r="B111">
        <f t="shared" si="11"/>
        <v>0</v>
      </c>
      <c r="C111" t="s">
        <v>1899</v>
      </c>
      <c r="D111" t="s">
        <v>1325</v>
      </c>
      <c r="E111" t="s">
        <v>745</v>
      </c>
      <c r="F111" s="27">
        <v>1.9504861111111112E-2</v>
      </c>
      <c r="G111" s="1" t="s">
        <v>399</v>
      </c>
      <c r="H111" s="6">
        <f>COUNTIF(ValidTeams[],E111)</f>
        <v>0</v>
      </c>
    </row>
    <row r="112" spans="1:8" x14ac:dyDescent="0.25">
      <c r="A112" s="1">
        <v>3</v>
      </c>
      <c r="B112">
        <f t="shared" si="11"/>
        <v>18</v>
      </c>
      <c r="C112" t="s">
        <v>1900</v>
      </c>
      <c r="D112" t="s">
        <v>81</v>
      </c>
      <c r="E112" t="s">
        <v>91</v>
      </c>
      <c r="F112" s="27">
        <v>1.9857870370370369E-2</v>
      </c>
      <c r="G112" s="1" t="s">
        <v>399</v>
      </c>
      <c r="H112" s="6">
        <f>COUNTIF(ValidTeams[],E112)</f>
        <v>1</v>
      </c>
    </row>
    <row r="113" spans="1:8" x14ac:dyDescent="0.25">
      <c r="A113" s="6"/>
      <c r="B113" s="6"/>
      <c r="C113" s="6"/>
      <c r="D113" s="6"/>
      <c r="E113" s="21"/>
      <c r="F113" s="33"/>
      <c r="G113" s="6"/>
      <c r="H113" s="34"/>
    </row>
    <row r="114" spans="1:8" x14ac:dyDescent="0.25">
      <c r="A114" s="4" t="s">
        <v>0</v>
      </c>
      <c r="B114" s="4" t="s">
        <v>73</v>
      </c>
      <c r="C114" s="4" t="s">
        <v>1</v>
      </c>
      <c r="D114" s="4" t="s">
        <v>2</v>
      </c>
      <c r="E114" s="5" t="s">
        <v>3</v>
      </c>
      <c r="F114" s="31" t="s">
        <v>4</v>
      </c>
      <c r="G114" s="4" t="s">
        <v>5</v>
      </c>
      <c r="H114" s="4" t="s">
        <v>72</v>
      </c>
    </row>
    <row r="115" spans="1:8" x14ac:dyDescent="0.25">
      <c r="A115" s="1">
        <v>1</v>
      </c>
      <c r="B115">
        <f t="shared" ref="B115:B122" si="12">IF(H115=1,MAX(21-A115,0),0)</f>
        <v>0</v>
      </c>
      <c r="C115" t="s">
        <v>1850</v>
      </c>
      <c r="D115" t="s">
        <v>595</v>
      </c>
      <c r="E115" t="s">
        <v>1851</v>
      </c>
      <c r="F115" s="27">
        <v>1.1500578703703704E-2</v>
      </c>
      <c r="G115" s="1" t="s">
        <v>405</v>
      </c>
      <c r="H115" s="6">
        <f>COUNTIF(ValidTeams[],E115)</f>
        <v>0</v>
      </c>
    </row>
    <row r="116" spans="1:8" x14ac:dyDescent="0.25">
      <c r="A116" s="1">
        <v>2</v>
      </c>
      <c r="B116">
        <f t="shared" si="12"/>
        <v>19</v>
      </c>
      <c r="C116" t="s">
        <v>1788</v>
      </c>
      <c r="D116" t="s">
        <v>225</v>
      </c>
      <c r="E116" t="s">
        <v>88</v>
      </c>
      <c r="F116" s="27">
        <v>1.1518749999999999E-2</v>
      </c>
      <c r="G116" s="1" t="s">
        <v>405</v>
      </c>
      <c r="H116" s="6">
        <f>COUNTIF(ValidTeams[],E116)</f>
        <v>1</v>
      </c>
    </row>
    <row r="117" spans="1:8" x14ac:dyDescent="0.25">
      <c r="A117" s="1">
        <v>3</v>
      </c>
      <c r="B117">
        <f t="shared" si="12"/>
        <v>0</v>
      </c>
      <c r="C117" t="s">
        <v>1852</v>
      </c>
      <c r="D117" t="s">
        <v>1853</v>
      </c>
      <c r="E117" t="s">
        <v>1854</v>
      </c>
      <c r="F117" s="27">
        <v>1.1652314814814815E-2</v>
      </c>
      <c r="G117" s="1" t="s">
        <v>405</v>
      </c>
      <c r="H117" s="6">
        <f>COUNTIF(ValidTeams[],E117)</f>
        <v>0</v>
      </c>
    </row>
    <row r="118" spans="1:8" x14ac:dyDescent="0.25">
      <c r="A118" s="1">
        <v>4</v>
      </c>
      <c r="B118">
        <f t="shared" si="12"/>
        <v>17</v>
      </c>
      <c r="C118" t="s">
        <v>1855</v>
      </c>
      <c r="D118" t="s">
        <v>132</v>
      </c>
      <c r="E118" t="s">
        <v>446</v>
      </c>
      <c r="F118" s="27">
        <v>1.1824305555555555E-2</v>
      </c>
      <c r="G118" s="1" t="s">
        <v>405</v>
      </c>
      <c r="H118" s="6">
        <f>COUNTIF(ValidTeams[],E118)</f>
        <v>1</v>
      </c>
    </row>
    <row r="119" spans="1:8" x14ac:dyDescent="0.25">
      <c r="A119" s="1">
        <v>5</v>
      </c>
      <c r="B119">
        <f t="shared" si="12"/>
        <v>16</v>
      </c>
      <c r="C119" t="s">
        <v>1786</v>
      </c>
      <c r="D119" t="s">
        <v>412</v>
      </c>
      <c r="E119" t="s">
        <v>459</v>
      </c>
      <c r="F119" s="27">
        <v>1.2001620370370371E-2</v>
      </c>
      <c r="G119" s="1" t="s">
        <v>405</v>
      </c>
      <c r="H119" s="6">
        <f>COUNTIF(ValidTeams[],E119)</f>
        <v>1</v>
      </c>
    </row>
    <row r="120" spans="1:8" x14ac:dyDescent="0.25">
      <c r="A120" s="1">
        <v>6</v>
      </c>
      <c r="B120">
        <f t="shared" si="12"/>
        <v>15</v>
      </c>
      <c r="C120" t="s">
        <v>1856</v>
      </c>
      <c r="D120" t="s">
        <v>1092</v>
      </c>
      <c r="E120" t="s">
        <v>1857</v>
      </c>
      <c r="F120" s="27">
        <v>1.2658912037037036E-2</v>
      </c>
      <c r="G120" s="1" t="s">
        <v>405</v>
      </c>
      <c r="H120" s="6">
        <f>COUNTIF(ValidTeams[],E120)</f>
        <v>1</v>
      </c>
    </row>
    <row r="121" spans="1:8" x14ac:dyDescent="0.25">
      <c r="A121" s="1">
        <v>7</v>
      </c>
      <c r="B121">
        <f t="shared" si="12"/>
        <v>14</v>
      </c>
      <c r="C121" t="s">
        <v>1858</v>
      </c>
      <c r="D121" t="s">
        <v>676</v>
      </c>
      <c r="E121" t="s">
        <v>345</v>
      </c>
      <c r="F121" s="27">
        <v>1.3092939814814816E-2</v>
      </c>
      <c r="G121" s="1" t="s">
        <v>405</v>
      </c>
      <c r="H121" s="6">
        <f>COUNTIF(ValidTeams[],E121)</f>
        <v>1</v>
      </c>
    </row>
    <row r="122" spans="1:8" x14ac:dyDescent="0.25">
      <c r="A122" s="1">
        <v>8</v>
      </c>
      <c r="B122" s="1">
        <f t="shared" si="12"/>
        <v>13</v>
      </c>
      <c r="C122" t="s">
        <v>1859</v>
      </c>
      <c r="D122" t="s">
        <v>1860</v>
      </c>
      <c r="E122" t="s">
        <v>1857</v>
      </c>
      <c r="F122" s="27">
        <v>1.3107754629629627E-2</v>
      </c>
      <c r="G122" s="1" t="s">
        <v>405</v>
      </c>
      <c r="H122" s="24">
        <f>COUNTIF(ValidTeams[],E122)</f>
        <v>1</v>
      </c>
    </row>
    <row r="123" spans="1:8" x14ac:dyDescent="0.25">
      <c r="A123" s="6"/>
      <c r="B123" s="6"/>
      <c r="C123" s="6"/>
      <c r="D123" s="6"/>
      <c r="E123" s="21"/>
      <c r="F123" s="33"/>
      <c r="G123" s="6"/>
      <c r="H123" s="34"/>
    </row>
    <row r="124" spans="1:8" x14ac:dyDescent="0.25">
      <c r="A124" s="4" t="s">
        <v>0</v>
      </c>
      <c r="B124" s="4" t="s">
        <v>73</v>
      </c>
      <c r="C124" s="4" t="s">
        <v>1</v>
      </c>
      <c r="D124" s="4" t="s">
        <v>2</v>
      </c>
      <c r="E124" s="5" t="s">
        <v>3</v>
      </c>
      <c r="F124" s="31" t="s">
        <v>4</v>
      </c>
      <c r="G124" s="4" t="s">
        <v>5</v>
      </c>
      <c r="H124" s="4" t="s">
        <v>72</v>
      </c>
    </row>
    <row r="125" spans="1:8" x14ac:dyDescent="0.25">
      <c r="A125" s="1">
        <v>1</v>
      </c>
      <c r="B125">
        <f>IF(H125=1,MAX(21-A125,0),0)</f>
        <v>20</v>
      </c>
      <c r="C125" t="s">
        <v>1901</v>
      </c>
      <c r="D125" t="s">
        <v>431</v>
      </c>
      <c r="E125" t="s">
        <v>100</v>
      </c>
      <c r="F125" s="27">
        <v>1.4659722222222222E-2</v>
      </c>
      <c r="G125" s="1" t="s">
        <v>426</v>
      </c>
      <c r="H125" s="6">
        <f>COUNTIF(ValidTeams[],E125)</f>
        <v>1</v>
      </c>
    </row>
    <row r="126" spans="1:8" x14ac:dyDescent="0.25">
      <c r="A126" s="1">
        <v>2</v>
      </c>
      <c r="B126">
        <f>IF(H126=1,MAX(21-A126,0),0)</f>
        <v>19</v>
      </c>
      <c r="C126" t="s">
        <v>1902</v>
      </c>
      <c r="D126" t="s">
        <v>1361</v>
      </c>
      <c r="E126" t="s">
        <v>38</v>
      </c>
      <c r="F126" s="27">
        <v>1.5294675925925927E-2</v>
      </c>
      <c r="G126" s="1" t="s">
        <v>426</v>
      </c>
      <c r="H126" s="6">
        <f>COUNTIF(ValidTeams[],E126)</f>
        <v>1</v>
      </c>
    </row>
    <row r="127" spans="1:8" x14ac:dyDescent="0.25">
      <c r="A127" s="1">
        <v>3</v>
      </c>
      <c r="B127">
        <f>IF(H127=1,MAX(21-A127,0),0)</f>
        <v>0</v>
      </c>
      <c r="C127" t="s">
        <v>1903</v>
      </c>
      <c r="D127" t="s">
        <v>1358</v>
      </c>
      <c r="E127" t="s">
        <v>745</v>
      </c>
      <c r="F127" s="27">
        <v>1.6277314814814817E-2</v>
      </c>
      <c r="G127" s="1" t="s">
        <v>426</v>
      </c>
      <c r="H127" s="6">
        <f>COUNTIF(ValidTeams[],E127)</f>
        <v>0</v>
      </c>
    </row>
    <row r="128" spans="1:8" x14ac:dyDescent="0.25">
      <c r="A128" s="1">
        <v>4</v>
      </c>
      <c r="B128" s="1">
        <f>IF(H128=1,MAX(21-A128,0),0)</f>
        <v>17</v>
      </c>
      <c r="C128" t="s">
        <v>1904</v>
      </c>
      <c r="D128" t="s">
        <v>1905</v>
      </c>
      <c r="E128" t="s">
        <v>100</v>
      </c>
      <c r="F128" s="27">
        <v>1.8440972222222223E-2</v>
      </c>
      <c r="G128" s="1" t="s">
        <v>426</v>
      </c>
      <c r="H128" s="6">
        <f>COUNTIF(ValidTeams[],E128)</f>
        <v>1</v>
      </c>
    </row>
    <row r="129" spans="6:6" x14ac:dyDescent="0.25">
      <c r="F129" s="29"/>
    </row>
    <row r="130" spans="6:6" x14ac:dyDescent="0.25">
      <c r="F130" s="29"/>
    </row>
    <row r="131" spans="6:6" x14ac:dyDescent="0.25">
      <c r="F131" s="29"/>
    </row>
    <row r="132" spans="6:6" x14ac:dyDescent="0.25">
      <c r="F132" s="29"/>
    </row>
    <row r="133" spans="6:6" x14ac:dyDescent="0.25">
      <c r="F133" s="29"/>
    </row>
    <row r="134" spans="6:6" x14ac:dyDescent="0.25">
      <c r="F134" s="29"/>
    </row>
    <row r="135" spans="6:6" x14ac:dyDescent="0.25">
      <c r="F135" s="29"/>
    </row>
    <row r="136" spans="6:6" x14ac:dyDescent="0.25">
      <c r="F136" s="29"/>
    </row>
    <row r="137" spans="6:6" x14ac:dyDescent="0.25">
      <c r="F137" s="29"/>
    </row>
    <row r="138" spans="6:6" x14ac:dyDescent="0.25">
      <c r="F138" s="29"/>
    </row>
    <row r="139" spans="6:6" x14ac:dyDescent="0.25">
      <c r="F139" s="29"/>
    </row>
    <row r="140" spans="6:6" x14ac:dyDescent="0.25">
      <c r="F140" s="29"/>
    </row>
    <row r="141" spans="6:6" x14ac:dyDescent="0.25">
      <c r="F141" s="29"/>
    </row>
    <row r="142" spans="6:6" x14ac:dyDescent="0.25">
      <c r="F142" s="29"/>
    </row>
    <row r="143" spans="6:6" x14ac:dyDescent="0.25">
      <c r="F143" s="29"/>
    </row>
    <row r="144" spans="6:6" x14ac:dyDescent="0.25">
      <c r="F144" s="29"/>
    </row>
    <row r="145" spans="6:6" x14ac:dyDescent="0.25">
      <c r="F145" s="29"/>
    </row>
    <row r="146" spans="6:6" x14ac:dyDescent="0.25">
      <c r="F146" s="29"/>
    </row>
    <row r="147" spans="6:6" x14ac:dyDescent="0.25">
      <c r="F147" s="29"/>
    </row>
    <row r="148" spans="6:6" x14ac:dyDescent="0.25">
      <c r="F148" s="29"/>
    </row>
    <row r="149" spans="6:6" x14ac:dyDescent="0.25">
      <c r="F149" s="29"/>
    </row>
    <row r="150" spans="6:6" x14ac:dyDescent="0.25">
      <c r="F150" s="29"/>
    </row>
    <row r="151" spans="6:6" x14ac:dyDescent="0.25">
      <c r="F151" s="29"/>
    </row>
    <row r="152" spans="6:6" x14ac:dyDescent="0.25">
      <c r="F152" s="29"/>
    </row>
    <row r="153" spans="6:6" x14ac:dyDescent="0.25">
      <c r="F153" s="29"/>
    </row>
    <row r="154" spans="6:6" x14ac:dyDescent="0.25">
      <c r="F154" s="29"/>
    </row>
    <row r="155" spans="6:6" x14ac:dyDescent="0.25">
      <c r="F155" s="29"/>
    </row>
    <row r="156" spans="6:6" x14ac:dyDescent="0.25">
      <c r="F156" s="29"/>
    </row>
    <row r="157" spans="6:6" x14ac:dyDescent="0.25">
      <c r="F157" s="29"/>
    </row>
    <row r="158" spans="6:6" x14ac:dyDescent="0.25">
      <c r="F158" s="29"/>
    </row>
    <row r="159" spans="6:6" x14ac:dyDescent="0.25">
      <c r="F159" s="29"/>
    </row>
    <row r="160" spans="6:6" x14ac:dyDescent="0.25">
      <c r="F160" s="29"/>
    </row>
    <row r="161" spans="6:6" x14ac:dyDescent="0.25">
      <c r="F161" s="29"/>
    </row>
    <row r="162" spans="6:6" x14ac:dyDescent="0.25">
      <c r="F162" s="29"/>
    </row>
    <row r="163" spans="6:6" x14ac:dyDescent="0.25">
      <c r="F163" s="29"/>
    </row>
    <row r="164" spans="6:6" x14ac:dyDescent="0.25">
      <c r="F164" s="29"/>
    </row>
    <row r="165" spans="6:6" x14ac:dyDescent="0.25">
      <c r="F165" s="29"/>
    </row>
    <row r="166" spans="6:6" x14ac:dyDescent="0.25">
      <c r="F166" s="29"/>
    </row>
    <row r="167" spans="6:6" x14ac:dyDescent="0.25">
      <c r="F167" s="29"/>
    </row>
    <row r="168" spans="6:6" x14ac:dyDescent="0.25">
      <c r="F168" s="29"/>
    </row>
    <row r="169" spans="6:6" x14ac:dyDescent="0.25">
      <c r="F169" s="29"/>
    </row>
    <row r="170" spans="6:6" x14ac:dyDescent="0.25">
      <c r="F170" s="29"/>
    </row>
    <row r="171" spans="6:6" x14ac:dyDescent="0.25">
      <c r="F171" s="29"/>
    </row>
    <row r="172" spans="6:6" x14ac:dyDescent="0.25">
      <c r="F172" s="29"/>
    </row>
    <row r="173" spans="6:6" x14ac:dyDescent="0.25">
      <c r="F173" s="29"/>
    </row>
    <row r="174" spans="6:6" x14ac:dyDescent="0.25">
      <c r="F174" s="29"/>
    </row>
    <row r="175" spans="6:6" x14ac:dyDescent="0.25">
      <c r="F175" s="29"/>
    </row>
    <row r="176" spans="6:6" x14ac:dyDescent="0.25">
      <c r="F176" s="29"/>
    </row>
    <row r="177" spans="6:6" x14ac:dyDescent="0.25">
      <c r="F177" s="29"/>
    </row>
    <row r="178" spans="6:6" x14ac:dyDescent="0.25">
      <c r="F178" s="29"/>
    </row>
    <row r="179" spans="6:6" x14ac:dyDescent="0.25">
      <c r="F179" s="29"/>
    </row>
    <row r="180" spans="6:6" x14ac:dyDescent="0.25">
      <c r="F180" s="29"/>
    </row>
    <row r="181" spans="6:6" x14ac:dyDescent="0.25">
      <c r="F181" s="29"/>
    </row>
    <row r="182" spans="6:6" x14ac:dyDescent="0.25">
      <c r="F182" s="29"/>
    </row>
    <row r="183" spans="6:6" x14ac:dyDescent="0.25">
      <c r="F183" s="29"/>
    </row>
    <row r="184" spans="6:6" x14ac:dyDescent="0.25">
      <c r="F184" s="29"/>
    </row>
    <row r="185" spans="6:6" x14ac:dyDescent="0.25">
      <c r="F185" s="29"/>
    </row>
    <row r="186" spans="6:6" x14ac:dyDescent="0.25">
      <c r="F186" s="29"/>
    </row>
    <row r="187" spans="6:6" x14ac:dyDescent="0.25">
      <c r="F187" s="29"/>
    </row>
    <row r="188" spans="6:6" x14ac:dyDescent="0.25">
      <c r="F188" s="29"/>
    </row>
    <row r="189" spans="6:6" x14ac:dyDescent="0.25">
      <c r="F189" s="29"/>
    </row>
    <row r="190" spans="6:6" x14ac:dyDescent="0.25">
      <c r="F190" s="29"/>
    </row>
    <row r="191" spans="6:6" x14ac:dyDescent="0.25">
      <c r="F191" s="29"/>
    </row>
    <row r="192" spans="6:6" x14ac:dyDescent="0.25">
      <c r="F192" s="29"/>
    </row>
    <row r="193" spans="6:6" x14ac:dyDescent="0.25">
      <c r="F193" s="29"/>
    </row>
    <row r="194" spans="6:6" x14ac:dyDescent="0.25">
      <c r="F194" s="29"/>
    </row>
    <row r="195" spans="6:6" x14ac:dyDescent="0.25">
      <c r="F195" s="29"/>
    </row>
    <row r="196" spans="6:6" x14ac:dyDescent="0.25">
      <c r="F196" s="29"/>
    </row>
    <row r="197" spans="6:6" x14ac:dyDescent="0.25">
      <c r="F197" s="29"/>
    </row>
    <row r="198" spans="6:6" x14ac:dyDescent="0.25">
      <c r="F198" s="29"/>
    </row>
    <row r="199" spans="6:6" x14ac:dyDescent="0.25">
      <c r="F199" s="29"/>
    </row>
    <row r="200" spans="6:6" x14ac:dyDescent="0.25">
      <c r="F200" s="29"/>
    </row>
    <row r="201" spans="6:6" x14ac:dyDescent="0.25">
      <c r="F201" s="29"/>
    </row>
    <row r="202" spans="6:6" x14ac:dyDescent="0.25">
      <c r="F202" s="29"/>
    </row>
    <row r="203" spans="6:6" x14ac:dyDescent="0.25">
      <c r="F203" s="29"/>
    </row>
    <row r="204" spans="6:6" x14ac:dyDescent="0.25">
      <c r="F204" s="29"/>
    </row>
    <row r="205" spans="6:6" x14ac:dyDescent="0.25">
      <c r="F205" s="29"/>
    </row>
    <row r="206" spans="6:6" x14ac:dyDescent="0.25">
      <c r="F206" s="29"/>
    </row>
    <row r="207" spans="6:6" x14ac:dyDescent="0.25">
      <c r="F207" s="29"/>
    </row>
    <row r="208" spans="6:6" x14ac:dyDescent="0.25">
      <c r="F208" s="29"/>
    </row>
    <row r="209" spans="6:6" x14ac:dyDescent="0.25">
      <c r="F209" s="29"/>
    </row>
    <row r="210" spans="6:6" x14ac:dyDescent="0.25">
      <c r="F210" s="29"/>
    </row>
  </sheetData>
  <conditionalFormatting sqref="H1:H1048576">
    <cfRule type="cellIs" dxfId="365" priority="1" operator="lessThan">
      <formula>1</formula>
    </cfRule>
  </conditionalFormatting>
  <pageMargins left="0.7" right="0.7" top="0.75" bottom="0.75" header="0.3" footer="0.3"/>
  <pageSetup scale="89" fitToHeight="0" orientation="landscape" horizontalDpi="4294967293" r:id="rId1"/>
  <tableParts count="1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CBE22-DA36-49DB-ACFB-D362C40B91E3}">
  <sheetPr codeName="Sheet13">
    <pageSetUpPr fitToPage="1"/>
  </sheetPr>
  <dimension ref="A1:H225"/>
  <sheetViews>
    <sheetView zoomScaleNormal="100" workbookViewId="0">
      <selection activeCell="G10" sqref="G10"/>
    </sheetView>
  </sheetViews>
  <sheetFormatPr defaultRowHeight="15" x14ac:dyDescent="0.25"/>
  <cols>
    <col min="2" max="2" width="17" customWidth="1"/>
    <col min="3" max="3" width="14.85546875" customWidth="1"/>
    <col min="4" max="4" width="12.28515625" customWidth="1"/>
    <col min="5" max="5" width="37.5703125" style="2" customWidth="1"/>
    <col min="6" max="6" width="15.140625" style="30" customWidth="1"/>
    <col min="7" max="7" width="21.140625" customWidth="1"/>
    <col min="10" max="10" width="12.7109375" customWidth="1"/>
    <col min="11" max="11" width="42.7109375" bestFit="1" customWidth="1"/>
    <col min="14" max="14" width="8.42578125" bestFit="1" customWidth="1"/>
  </cols>
  <sheetData>
    <row r="1" spans="1:8" x14ac:dyDescent="0.25">
      <c r="A1" t="s">
        <v>0</v>
      </c>
      <c r="B1" t="s">
        <v>73</v>
      </c>
      <c r="C1" t="s">
        <v>1</v>
      </c>
      <c r="D1" t="s">
        <v>2</v>
      </c>
      <c r="E1" t="s">
        <v>3</v>
      </c>
      <c r="F1" s="29" t="s">
        <v>4</v>
      </c>
      <c r="G1" t="s">
        <v>5</v>
      </c>
      <c r="H1" t="s">
        <v>458</v>
      </c>
    </row>
    <row r="2" spans="1:8" x14ac:dyDescent="0.25">
      <c r="A2">
        <v>1</v>
      </c>
      <c r="B2">
        <f t="shared" ref="B2:B10" si="0">IF(H2=1,MAX(21-A2,0),0)</f>
        <v>20</v>
      </c>
      <c r="C2" t="s">
        <v>1840</v>
      </c>
      <c r="D2" t="s">
        <v>14</v>
      </c>
      <c r="E2" t="s">
        <v>1944</v>
      </c>
      <c r="F2" s="28">
        <v>2.3931712962962964E-2</v>
      </c>
      <c r="G2" t="s">
        <v>9</v>
      </c>
      <c r="H2">
        <f>COUNTIF(ValidTeams[],E2)</f>
        <v>1</v>
      </c>
    </row>
    <row r="3" spans="1:8" x14ac:dyDescent="0.25">
      <c r="A3">
        <v>2</v>
      </c>
      <c r="B3">
        <f t="shared" si="0"/>
        <v>0</v>
      </c>
      <c r="C3" t="s">
        <v>1945</v>
      </c>
      <c r="D3" t="s">
        <v>595</v>
      </c>
      <c r="E3" t="s">
        <v>1946</v>
      </c>
      <c r="F3" s="28">
        <v>2.3944444444444445E-2</v>
      </c>
      <c r="G3" t="s">
        <v>9</v>
      </c>
      <c r="H3">
        <f>COUNTIF(ValidTeams[],E3)</f>
        <v>0</v>
      </c>
    </row>
    <row r="4" spans="1:8" x14ac:dyDescent="0.25">
      <c r="A4">
        <v>3</v>
      </c>
      <c r="B4">
        <f t="shared" si="0"/>
        <v>0</v>
      </c>
      <c r="C4" t="s">
        <v>1947</v>
      </c>
      <c r="D4" t="s">
        <v>1948</v>
      </c>
      <c r="E4"/>
      <c r="F4" s="28">
        <v>2.5704861111111112E-2</v>
      </c>
      <c r="G4" t="s">
        <v>9</v>
      </c>
      <c r="H4">
        <f>COUNTIF(ValidTeams[],E4)</f>
        <v>0</v>
      </c>
    </row>
    <row r="5" spans="1:8" x14ac:dyDescent="0.25">
      <c r="A5">
        <v>4</v>
      </c>
      <c r="B5">
        <f t="shared" si="0"/>
        <v>0</v>
      </c>
      <c r="C5" t="s">
        <v>1949</v>
      </c>
      <c r="D5" t="s">
        <v>360</v>
      </c>
      <c r="E5" t="s">
        <v>1950</v>
      </c>
      <c r="F5" s="28">
        <v>2.7398148148148147E-2</v>
      </c>
      <c r="G5" t="s">
        <v>9</v>
      </c>
      <c r="H5">
        <f>COUNTIF(ValidTeams[],E5)</f>
        <v>0</v>
      </c>
    </row>
    <row r="6" spans="1:8" x14ac:dyDescent="0.25">
      <c r="A6">
        <v>5</v>
      </c>
      <c r="B6">
        <f t="shared" si="0"/>
        <v>0</v>
      </c>
      <c r="C6" t="s">
        <v>1951</v>
      </c>
      <c r="D6" t="s">
        <v>1952</v>
      </c>
      <c r="E6"/>
      <c r="F6" s="28">
        <v>2.9172453703703704E-2</v>
      </c>
      <c r="G6" t="s">
        <v>9</v>
      </c>
      <c r="H6">
        <f>COUNTIF(ValidTeams[],E6)</f>
        <v>0</v>
      </c>
    </row>
    <row r="7" spans="1:8" x14ac:dyDescent="0.25">
      <c r="A7">
        <v>6</v>
      </c>
      <c r="B7">
        <f t="shared" si="0"/>
        <v>0</v>
      </c>
      <c r="C7" t="s">
        <v>1953</v>
      </c>
      <c r="D7" t="s">
        <v>114</v>
      </c>
      <c r="E7" t="s">
        <v>1954</v>
      </c>
      <c r="F7" s="28">
        <v>2.9363425925925921E-2</v>
      </c>
      <c r="G7" t="s">
        <v>9</v>
      </c>
      <c r="H7">
        <f>COUNTIF(ValidTeams[],E7)</f>
        <v>0</v>
      </c>
    </row>
    <row r="8" spans="1:8" x14ac:dyDescent="0.25">
      <c r="A8">
        <v>7</v>
      </c>
      <c r="B8">
        <f t="shared" si="0"/>
        <v>0</v>
      </c>
      <c r="C8" t="s">
        <v>1955</v>
      </c>
      <c r="D8" t="s">
        <v>714</v>
      </c>
      <c r="E8" t="s">
        <v>1956</v>
      </c>
      <c r="F8" s="28">
        <v>2.9565972222222223E-2</v>
      </c>
      <c r="G8" t="s">
        <v>9</v>
      </c>
      <c r="H8">
        <f>COUNTIF(ValidTeams[],E8)</f>
        <v>0</v>
      </c>
    </row>
    <row r="9" spans="1:8" x14ac:dyDescent="0.25">
      <c r="A9">
        <v>8</v>
      </c>
      <c r="B9">
        <f t="shared" si="0"/>
        <v>0</v>
      </c>
      <c r="C9" t="s">
        <v>1947</v>
      </c>
      <c r="D9" t="s">
        <v>1957</v>
      </c>
      <c r="E9"/>
      <c r="F9" s="28">
        <v>3.0761574074074077E-2</v>
      </c>
      <c r="G9" t="s">
        <v>9</v>
      </c>
      <c r="H9">
        <f>COUNTIF(ValidTeams[],E9)</f>
        <v>0</v>
      </c>
    </row>
    <row r="10" spans="1:8" x14ac:dyDescent="0.25">
      <c r="A10">
        <v>9</v>
      </c>
      <c r="B10">
        <f t="shared" si="0"/>
        <v>12</v>
      </c>
      <c r="C10" t="s">
        <v>1845</v>
      </c>
      <c r="D10" t="s">
        <v>33</v>
      </c>
      <c r="E10" t="s">
        <v>1958</v>
      </c>
      <c r="F10" s="28">
        <v>3.2344907407407412E-2</v>
      </c>
      <c r="G10" t="s">
        <v>9</v>
      </c>
      <c r="H10">
        <f>COUNTIF(ValidTeams[],E10)</f>
        <v>1</v>
      </c>
    </row>
    <row r="11" spans="1:8" x14ac:dyDescent="0.25">
      <c r="B11" s="23"/>
      <c r="F11" s="29"/>
      <c r="H11" s="23"/>
    </row>
    <row r="12" spans="1:8" x14ac:dyDescent="0.25">
      <c r="A12" t="s">
        <v>0</v>
      </c>
      <c r="B12" t="s">
        <v>73</v>
      </c>
      <c r="C12" t="s">
        <v>1</v>
      </c>
      <c r="D12" t="s">
        <v>2</v>
      </c>
      <c r="E12" t="s">
        <v>3</v>
      </c>
      <c r="F12" s="29" t="s">
        <v>4</v>
      </c>
      <c r="G12" t="s">
        <v>5</v>
      </c>
      <c r="H12" t="s">
        <v>72</v>
      </c>
    </row>
    <row r="13" spans="1:8" x14ac:dyDescent="0.25">
      <c r="A13">
        <v>1</v>
      </c>
      <c r="B13">
        <f>IF(H13=1,MAX(21-A13,0),0)</f>
        <v>20</v>
      </c>
      <c r="C13" t="s">
        <v>1897</v>
      </c>
      <c r="D13" t="s">
        <v>43</v>
      </c>
      <c r="E13" t="s">
        <v>1991</v>
      </c>
      <c r="F13" s="27">
        <v>2.8710648148148148E-2</v>
      </c>
      <c r="G13" t="s">
        <v>39</v>
      </c>
      <c r="H13">
        <f>COUNTIF(ValidTeams[],E13)</f>
        <v>1</v>
      </c>
    </row>
    <row r="14" spans="1:8" x14ac:dyDescent="0.25">
      <c r="A14">
        <v>2</v>
      </c>
      <c r="B14">
        <f>IF(H14=1,MAX(21-A14,0),0)</f>
        <v>19</v>
      </c>
      <c r="C14" t="s">
        <v>1896</v>
      </c>
      <c r="D14" t="s">
        <v>37</v>
      </c>
      <c r="E14" t="s">
        <v>38</v>
      </c>
      <c r="F14" s="27">
        <v>2.8784722222222225E-2</v>
      </c>
      <c r="G14" t="s">
        <v>39</v>
      </c>
      <c r="H14">
        <f>COUNTIF(ValidTeams[],E14)</f>
        <v>1</v>
      </c>
    </row>
    <row r="15" spans="1:8" x14ac:dyDescent="0.25">
      <c r="A15">
        <v>3</v>
      </c>
      <c r="B15">
        <f>IF(H15=1,MAX(21-A15,0),0)</f>
        <v>0</v>
      </c>
      <c r="C15" t="s">
        <v>2031</v>
      </c>
      <c r="D15" t="s">
        <v>2032</v>
      </c>
      <c r="E15" t="s">
        <v>2033</v>
      </c>
      <c r="F15" s="27">
        <v>3.0428240740740742E-2</v>
      </c>
      <c r="G15" t="s">
        <v>39</v>
      </c>
      <c r="H15">
        <f>COUNTIF(ValidTeams[],E15)</f>
        <v>0</v>
      </c>
    </row>
    <row r="16" spans="1:8" x14ac:dyDescent="0.25">
      <c r="A16">
        <v>4</v>
      </c>
      <c r="B16">
        <f>IF(H16=1,MAX(21-A16,0),0)</f>
        <v>0</v>
      </c>
      <c r="C16" t="s">
        <v>2034</v>
      </c>
      <c r="D16" t="s">
        <v>2035</v>
      </c>
      <c r="E16" t="s">
        <v>1956</v>
      </c>
      <c r="F16" s="27">
        <v>3.1331018518518515E-2</v>
      </c>
      <c r="G16" t="s">
        <v>39</v>
      </c>
      <c r="H16">
        <f>COUNTIF(ValidTeams[],E16)</f>
        <v>0</v>
      </c>
    </row>
    <row r="17" spans="1:8" x14ac:dyDescent="0.25">
      <c r="A17">
        <v>5</v>
      </c>
      <c r="B17" s="23">
        <f t="shared" ref="B17:B18" si="1">IF(H17=1,MAX(21-A17,0),0)</f>
        <v>0</v>
      </c>
      <c r="C17" t="s">
        <v>2036</v>
      </c>
      <c r="D17" t="s">
        <v>2037</v>
      </c>
      <c r="E17"/>
      <c r="F17" s="27">
        <v>3.2023148148148155E-2</v>
      </c>
      <c r="G17" t="s">
        <v>39</v>
      </c>
      <c r="H17" s="23">
        <f>COUNTIF(ValidTeams[],E17)</f>
        <v>0</v>
      </c>
    </row>
    <row r="18" spans="1:8" x14ac:dyDescent="0.25">
      <c r="A18">
        <v>6</v>
      </c>
      <c r="B18" s="23">
        <f t="shared" si="1"/>
        <v>15</v>
      </c>
      <c r="C18" t="s">
        <v>1845</v>
      </c>
      <c r="D18" t="s">
        <v>48</v>
      </c>
      <c r="E18" t="s">
        <v>2038</v>
      </c>
      <c r="F18" s="27">
        <v>3.2569444444444443E-2</v>
      </c>
      <c r="G18" t="s">
        <v>39</v>
      </c>
      <c r="H18" s="23">
        <f>COUNTIF(ValidTeams[],E18)</f>
        <v>1</v>
      </c>
    </row>
    <row r="19" spans="1:8" x14ac:dyDescent="0.25">
      <c r="B19" s="23"/>
      <c r="F19" s="29"/>
      <c r="H19" s="23"/>
    </row>
    <row r="20" spans="1:8" x14ac:dyDescent="0.25">
      <c r="A20" t="s">
        <v>0</v>
      </c>
      <c r="B20" t="s">
        <v>73</v>
      </c>
      <c r="C20" t="s">
        <v>1</v>
      </c>
      <c r="D20" t="s">
        <v>2</v>
      </c>
      <c r="E20" s="2" t="s">
        <v>3</v>
      </c>
      <c r="F20" s="30" t="s">
        <v>4</v>
      </c>
      <c r="G20" t="s">
        <v>5</v>
      </c>
    </row>
    <row r="21" spans="1:8" x14ac:dyDescent="0.25">
      <c r="A21">
        <v>1</v>
      </c>
      <c r="B21">
        <v>20</v>
      </c>
      <c r="C21" t="s">
        <v>2000</v>
      </c>
      <c r="D21" t="s">
        <v>92</v>
      </c>
      <c r="E21" t="s">
        <v>1972</v>
      </c>
      <c r="F21" s="28">
        <v>3.6707175925925928E-2</v>
      </c>
      <c r="G21" t="s">
        <v>86</v>
      </c>
    </row>
    <row r="22" spans="1:8" x14ac:dyDescent="0.25">
      <c r="A22">
        <v>2</v>
      </c>
      <c r="B22">
        <v>19</v>
      </c>
      <c r="C22" t="s">
        <v>2001</v>
      </c>
      <c r="D22" t="s">
        <v>95</v>
      </c>
      <c r="E22" s="2" t="s">
        <v>1972</v>
      </c>
      <c r="F22" s="28">
        <v>3.6991898148148149E-2</v>
      </c>
      <c r="G22" t="s">
        <v>86</v>
      </c>
    </row>
    <row r="23" spans="1:8" x14ac:dyDescent="0.25">
      <c r="F23" s="28"/>
    </row>
    <row r="24" spans="1:8" x14ac:dyDescent="0.25">
      <c r="A24" s="4" t="s">
        <v>0</v>
      </c>
      <c r="B24" s="4" t="s">
        <v>73</v>
      </c>
      <c r="C24" s="4" t="s">
        <v>1</v>
      </c>
      <c r="D24" s="4" t="s">
        <v>2</v>
      </c>
      <c r="E24" s="5" t="s">
        <v>3</v>
      </c>
      <c r="F24" s="31" t="s">
        <v>4</v>
      </c>
      <c r="G24" s="4" t="s">
        <v>5</v>
      </c>
    </row>
    <row r="25" spans="1:8" x14ac:dyDescent="0.25">
      <c r="A25" s="1">
        <v>1</v>
      </c>
      <c r="B25" s="1">
        <v>20</v>
      </c>
      <c r="C25" t="s">
        <v>1959</v>
      </c>
      <c r="D25" t="s">
        <v>99</v>
      </c>
      <c r="E25" t="s">
        <v>1960</v>
      </c>
      <c r="F25" s="28">
        <v>2.99837962962963E-2</v>
      </c>
      <c r="G25" s="1" t="s">
        <v>101</v>
      </c>
    </row>
    <row r="26" spans="1:8" x14ac:dyDescent="0.25">
      <c r="A26" s="1">
        <v>2</v>
      </c>
      <c r="B26" s="1">
        <v>19</v>
      </c>
      <c r="C26" t="s">
        <v>1961</v>
      </c>
      <c r="D26" t="s">
        <v>139</v>
      </c>
      <c r="E26" t="s">
        <v>1956</v>
      </c>
      <c r="F26" s="28">
        <v>3.3510416666666668E-2</v>
      </c>
      <c r="G26" s="1" t="s">
        <v>101</v>
      </c>
    </row>
    <row r="27" spans="1:8" x14ac:dyDescent="0.25">
      <c r="A27" s="6"/>
      <c r="B27" s="6"/>
      <c r="C27" s="6"/>
      <c r="D27" s="6"/>
      <c r="E27" s="21"/>
      <c r="F27" s="33"/>
      <c r="G27" s="6"/>
    </row>
    <row r="28" spans="1:8" x14ac:dyDescent="0.25">
      <c r="A28" s="4" t="s">
        <v>0</v>
      </c>
      <c r="B28" s="4" t="s">
        <v>73</v>
      </c>
      <c r="C28" s="4" t="s">
        <v>1</v>
      </c>
      <c r="D28" s="4" t="s">
        <v>2</v>
      </c>
      <c r="E28" s="5" t="s">
        <v>3</v>
      </c>
      <c r="F28" s="31" t="s">
        <v>4</v>
      </c>
      <c r="G28" s="4" t="s">
        <v>5</v>
      </c>
    </row>
    <row r="29" spans="1:8" x14ac:dyDescent="0.25">
      <c r="A29" s="1">
        <v>1</v>
      </c>
      <c r="B29" s="1">
        <v>20</v>
      </c>
      <c r="C29" t="s">
        <v>1962</v>
      </c>
      <c r="D29" t="s">
        <v>1963</v>
      </c>
      <c r="E29" t="s">
        <v>1964</v>
      </c>
      <c r="F29" s="28">
        <v>2.5478009259259259E-2</v>
      </c>
      <c r="G29" s="1" t="s">
        <v>109</v>
      </c>
    </row>
    <row r="30" spans="1:8" x14ac:dyDescent="0.25">
      <c r="A30" s="1">
        <v>2</v>
      </c>
      <c r="B30" s="1">
        <v>19</v>
      </c>
      <c r="C30" t="s">
        <v>1965</v>
      </c>
      <c r="D30" t="s">
        <v>421</v>
      </c>
      <c r="E30" t="s">
        <v>1960</v>
      </c>
      <c r="F30" s="28">
        <v>3.4635416666666669E-2</v>
      </c>
      <c r="G30" s="1" t="s">
        <v>109</v>
      </c>
    </row>
    <row r="31" spans="1:8" x14ac:dyDescent="0.25">
      <c r="A31" s="6"/>
      <c r="B31" s="6"/>
      <c r="E31"/>
      <c r="F31" s="28"/>
      <c r="G31" s="6"/>
    </row>
    <row r="32" spans="1:8" x14ac:dyDescent="0.25">
      <c r="A32" s="4" t="s">
        <v>0</v>
      </c>
      <c r="B32" s="4" t="s">
        <v>73</v>
      </c>
      <c r="C32" s="4" t="s">
        <v>1</v>
      </c>
      <c r="D32" s="4" t="s">
        <v>2</v>
      </c>
      <c r="E32" s="5" t="s">
        <v>3</v>
      </c>
      <c r="F32" s="31" t="s">
        <v>4</v>
      </c>
      <c r="G32" s="4" t="s">
        <v>5</v>
      </c>
    </row>
    <row r="33" spans="1:8" x14ac:dyDescent="0.25">
      <c r="A33" s="1">
        <v>1</v>
      </c>
      <c r="B33" s="1">
        <v>20</v>
      </c>
      <c r="C33" s="1"/>
      <c r="D33" s="1"/>
      <c r="E33" s="3"/>
      <c r="F33" s="32"/>
      <c r="G33" s="1" t="s">
        <v>112</v>
      </c>
    </row>
    <row r="34" spans="1:8" x14ac:dyDescent="0.25">
      <c r="A34" s="1">
        <v>2</v>
      </c>
      <c r="B34" s="1">
        <v>19</v>
      </c>
      <c r="C34" s="1"/>
      <c r="D34" s="1"/>
      <c r="E34" s="3"/>
      <c r="F34" s="32"/>
      <c r="G34" s="1" t="s">
        <v>112</v>
      </c>
    </row>
    <row r="35" spans="1:8" x14ac:dyDescent="0.25">
      <c r="A35" s="1">
        <v>3</v>
      </c>
      <c r="B35" s="1">
        <v>18</v>
      </c>
      <c r="C35" s="1"/>
      <c r="D35" s="1"/>
      <c r="E35" s="3"/>
      <c r="F35" s="32"/>
      <c r="G35" s="1" t="s">
        <v>112</v>
      </c>
    </row>
    <row r="36" spans="1:8" x14ac:dyDescent="0.25">
      <c r="A36" s="6"/>
      <c r="B36" s="6"/>
      <c r="C36" s="6"/>
      <c r="D36" s="6"/>
      <c r="E36" s="21"/>
      <c r="F36" s="33"/>
      <c r="G36" s="6"/>
    </row>
    <row r="37" spans="1:8" x14ac:dyDescent="0.25">
      <c r="A37" s="4" t="s">
        <v>0</v>
      </c>
      <c r="B37" s="4" t="s">
        <v>73</v>
      </c>
      <c r="C37" s="4" t="s">
        <v>1</v>
      </c>
      <c r="D37" s="4" t="s">
        <v>2</v>
      </c>
      <c r="E37" s="5" t="s">
        <v>3</v>
      </c>
      <c r="F37" s="31" t="s">
        <v>4</v>
      </c>
      <c r="G37" s="4" t="s">
        <v>5</v>
      </c>
    </row>
    <row r="38" spans="1:8" x14ac:dyDescent="0.25">
      <c r="A38" s="1">
        <v>1</v>
      </c>
      <c r="B38" s="1">
        <v>20</v>
      </c>
      <c r="C38" s="1"/>
      <c r="D38" s="1"/>
      <c r="E38" s="3"/>
      <c r="F38" s="32"/>
      <c r="G38" s="1" t="s">
        <v>119</v>
      </c>
    </row>
    <row r="39" spans="1:8" x14ac:dyDescent="0.25">
      <c r="A39" s="6"/>
      <c r="B39" s="6"/>
      <c r="C39" s="6"/>
      <c r="D39" s="6"/>
      <c r="E39" s="21"/>
      <c r="F39" s="33"/>
      <c r="G39" s="6"/>
    </row>
    <row r="40" spans="1:8" x14ac:dyDescent="0.25">
      <c r="A40" s="4" t="s">
        <v>0</v>
      </c>
      <c r="B40" s="4" t="s">
        <v>73</v>
      </c>
      <c r="C40" s="4" t="s">
        <v>1</v>
      </c>
      <c r="D40" s="4" t="s">
        <v>2</v>
      </c>
      <c r="E40" s="5" t="s">
        <v>3</v>
      </c>
      <c r="F40" s="31" t="s">
        <v>4</v>
      </c>
      <c r="G40" s="4" t="s">
        <v>5</v>
      </c>
    </row>
    <row r="41" spans="1:8" x14ac:dyDescent="0.25">
      <c r="A41" s="1">
        <v>1</v>
      </c>
      <c r="B41" s="1">
        <v>20</v>
      </c>
      <c r="C41" s="1"/>
      <c r="D41" s="1"/>
      <c r="E41" s="3"/>
      <c r="F41" s="32"/>
      <c r="G41" s="1" t="s">
        <v>121</v>
      </c>
    </row>
    <row r="42" spans="1:8" x14ac:dyDescent="0.25">
      <c r="F42" s="29"/>
    </row>
    <row r="43" spans="1:8" x14ac:dyDescent="0.25">
      <c r="A43" s="4" t="s">
        <v>0</v>
      </c>
      <c r="B43" s="4" t="s">
        <v>73</v>
      </c>
      <c r="C43" s="4" t="s">
        <v>1</v>
      </c>
      <c r="D43" s="4" t="s">
        <v>2</v>
      </c>
      <c r="E43" s="5" t="s">
        <v>3</v>
      </c>
      <c r="F43" s="31" t="s">
        <v>4</v>
      </c>
      <c r="G43" s="4" t="s">
        <v>5</v>
      </c>
      <c r="H43" s="4" t="s">
        <v>72</v>
      </c>
    </row>
    <row r="44" spans="1:8" x14ac:dyDescent="0.25">
      <c r="A44" s="1">
        <v>1</v>
      </c>
      <c r="B44">
        <f t="shared" ref="B44:B48" si="2">IF(H44=1,MAX(21-A44,0),0)</f>
        <v>20</v>
      </c>
      <c r="C44" t="s">
        <v>1966</v>
      </c>
      <c r="D44" t="s">
        <v>1235</v>
      </c>
      <c r="E44" t="s">
        <v>1967</v>
      </c>
      <c r="F44" s="28">
        <v>2.1674768518518517E-2</v>
      </c>
      <c r="G44" s="1" t="s">
        <v>124</v>
      </c>
      <c r="H44" s="6">
        <f>COUNTIF(ValidTeams[],E44)</f>
        <v>1</v>
      </c>
    </row>
    <row r="45" spans="1:8" x14ac:dyDescent="0.25">
      <c r="A45" s="1">
        <v>2</v>
      </c>
      <c r="B45">
        <f t="shared" si="2"/>
        <v>0</v>
      </c>
      <c r="C45" t="s">
        <v>1968</v>
      </c>
      <c r="D45" t="s">
        <v>274</v>
      </c>
      <c r="E45" t="s">
        <v>1969</v>
      </c>
      <c r="F45" s="28">
        <v>2.3613425925925923E-2</v>
      </c>
      <c r="G45" s="1" t="s">
        <v>124</v>
      </c>
      <c r="H45" s="6">
        <f>COUNTIF(ValidTeams[],E45)</f>
        <v>0</v>
      </c>
    </row>
    <row r="46" spans="1:8" x14ac:dyDescent="0.25">
      <c r="A46">
        <v>3</v>
      </c>
      <c r="B46">
        <f t="shared" si="2"/>
        <v>18</v>
      </c>
      <c r="C46" t="s">
        <v>1970</v>
      </c>
      <c r="D46" t="s">
        <v>17</v>
      </c>
      <c r="E46" t="s">
        <v>1971</v>
      </c>
      <c r="F46" s="28">
        <v>2.5406250000000002E-2</v>
      </c>
      <c r="G46" t="s">
        <v>124</v>
      </c>
      <c r="H46">
        <f>COUNTIF(ValidTeams[],E46)</f>
        <v>1</v>
      </c>
    </row>
    <row r="47" spans="1:8" x14ac:dyDescent="0.25">
      <c r="A47">
        <v>4</v>
      </c>
      <c r="B47">
        <f t="shared" si="2"/>
        <v>0</v>
      </c>
      <c r="C47" t="s">
        <v>1870</v>
      </c>
      <c r="D47" t="s">
        <v>1567</v>
      </c>
      <c r="E47"/>
      <c r="F47" s="28">
        <v>3.2695601851851851E-2</v>
      </c>
      <c r="G47" t="s">
        <v>124</v>
      </c>
      <c r="H47">
        <f>COUNTIF(ValidTeams[],E47)</f>
        <v>0</v>
      </c>
    </row>
    <row r="48" spans="1:8" x14ac:dyDescent="0.25">
      <c r="A48">
        <v>5</v>
      </c>
      <c r="B48">
        <f t="shared" si="2"/>
        <v>16</v>
      </c>
      <c r="C48" t="s">
        <v>1883</v>
      </c>
      <c r="D48" t="s">
        <v>310</v>
      </c>
      <c r="E48" t="s">
        <v>1972</v>
      </c>
      <c r="F48" s="28">
        <v>4.1225694444444447E-2</v>
      </c>
      <c r="G48" t="s">
        <v>124</v>
      </c>
      <c r="H48">
        <f>COUNTIF(ValidTeams[],E48)</f>
        <v>1</v>
      </c>
    </row>
    <row r="49" spans="1:8" x14ac:dyDescent="0.25">
      <c r="A49" s="6"/>
      <c r="B49" s="34"/>
      <c r="C49" s="6"/>
      <c r="D49" s="6"/>
      <c r="E49" s="21"/>
      <c r="F49" s="33"/>
      <c r="G49" s="6"/>
      <c r="H49" s="34"/>
    </row>
    <row r="50" spans="1:8" x14ac:dyDescent="0.25">
      <c r="A50" s="4" t="s">
        <v>0</v>
      </c>
      <c r="B50" s="4" t="s">
        <v>73</v>
      </c>
      <c r="C50" s="4" t="s">
        <v>1</v>
      </c>
      <c r="D50" s="4" t="s">
        <v>2</v>
      </c>
      <c r="E50" s="5" t="s">
        <v>3</v>
      </c>
      <c r="F50" s="31" t="s">
        <v>4</v>
      </c>
      <c r="G50" s="4" t="s">
        <v>5</v>
      </c>
      <c r="H50" s="4" t="s">
        <v>72</v>
      </c>
    </row>
    <row r="51" spans="1:8" x14ac:dyDescent="0.25">
      <c r="A51" s="1">
        <v>1</v>
      </c>
      <c r="B51">
        <f t="shared" ref="B51:B54" si="3">IF(H51=1,MAX(21-A51,0),0)</f>
        <v>20</v>
      </c>
      <c r="C51" t="s">
        <v>1973</v>
      </c>
      <c r="D51" t="s">
        <v>137</v>
      </c>
      <c r="E51" t="s">
        <v>1974</v>
      </c>
      <c r="F51" s="28">
        <v>2.277314814814815E-2</v>
      </c>
      <c r="G51" s="1" t="s">
        <v>135</v>
      </c>
      <c r="H51" s="6">
        <f>COUNTIF(ValidTeams[],E51)</f>
        <v>1</v>
      </c>
    </row>
    <row r="52" spans="1:8" x14ac:dyDescent="0.25">
      <c r="A52" s="1">
        <v>2</v>
      </c>
      <c r="B52">
        <f t="shared" si="3"/>
        <v>19</v>
      </c>
      <c r="C52" t="s">
        <v>1787</v>
      </c>
      <c r="D52" t="s">
        <v>7</v>
      </c>
      <c r="E52" t="s">
        <v>1958</v>
      </c>
      <c r="F52" s="28">
        <v>2.3627314814814813E-2</v>
      </c>
      <c r="G52" s="1" t="s">
        <v>135</v>
      </c>
      <c r="H52" s="6">
        <f>COUNTIF(ValidTeams[],E52)</f>
        <v>1</v>
      </c>
    </row>
    <row r="53" spans="1:8" x14ac:dyDescent="0.25">
      <c r="A53" s="1">
        <v>3</v>
      </c>
      <c r="B53">
        <f t="shared" si="3"/>
        <v>0</v>
      </c>
      <c r="C53" t="s">
        <v>1800</v>
      </c>
      <c r="D53" t="s">
        <v>793</v>
      </c>
      <c r="E53" t="s">
        <v>1975</v>
      </c>
      <c r="F53" s="28">
        <v>2.4171296296296298E-2</v>
      </c>
      <c r="G53" s="1" t="s">
        <v>135</v>
      </c>
      <c r="H53" s="6">
        <f>COUNTIF(ValidTeams[],E53)</f>
        <v>0</v>
      </c>
    </row>
    <row r="54" spans="1:8" x14ac:dyDescent="0.25">
      <c r="A54" s="1">
        <v>4</v>
      </c>
      <c r="B54">
        <f t="shared" si="3"/>
        <v>17</v>
      </c>
      <c r="C54" t="s">
        <v>1804</v>
      </c>
      <c r="D54" t="s">
        <v>139</v>
      </c>
      <c r="E54" t="s">
        <v>1976</v>
      </c>
      <c r="F54" s="28">
        <v>2.6574074074074073E-2</v>
      </c>
      <c r="G54" s="1" t="s">
        <v>135</v>
      </c>
      <c r="H54" s="6">
        <f>COUNTIF(ValidTeams[],E54)</f>
        <v>1</v>
      </c>
    </row>
    <row r="55" spans="1:8" x14ac:dyDescent="0.25">
      <c r="A55" s="6"/>
      <c r="B55" s="34"/>
      <c r="C55" s="6"/>
      <c r="D55" s="6"/>
      <c r="E55" s="21"/>
      <c r="F55" s="33"/>
      <c r="G55" s="6"/>
      <c r="H55" s="34"/>
    </row>
    <row r="56" spans="1:8" x14ac:dyDescent="0.25">
      <c r="A56" s="4" t="s">
        <v>0</v>
      </c>
      <c r="B56" s="4" t="s">
        <v>73</v>
      </c>
      <c r="C56" s="4" t="s">
        <v>1</v>
      </c>
      <c r="D56" s="4" t="s">
        <v>2</v>
      </c>
      <c r="E56" s="5" t="s">
        <v>3</v>
      </c>
      <c r="F56" s="31" t="s">
        <v>4</v>
      </c>
      <c r="G56" s="4" t="s">
        <v>5</v>
      </c>
      <c r="H56" s="4" t="s">
        <v>72</v>
      </c>
    </row>
    <row r="57" spans="1:8" x14ac:dyDescent="0.25">
      <c r="A57" s="1">
        <v>1</v>
      </c>
      <c r="B57">
        <f t="shared" ref="B57:B65" si="4">IF(H57=1,MAX(21-A57,0),0)</f>
        <v>20</v>
      </c>
      <c r="C57" t="s">
        <v>1795</v>
      </c>
      <c r="D57" t="s">
        <v>24</v>
      </c>
      <c r="E57" t="s">
        <v>1960</v>
      </c>
      <c r="F57" s="28">
        <v>2.3640046296296294E-2</v>
      </c>
      <c r="G57" s="1" t="s">
        <v>178</v>
      </c>
      <c r="H57" s="6">
        <f>COUNTIF(ValidTeams[],E57)</f>
        <v>1</v>
      </c>
    </row>
    <row r="58" spans="1:8" x14ac:dyDescent="0.25">
      <c r="A58" s="1">
        <v>2</v>
      </c>
      <c r="B58">
        <f t="shared" si="4"/>
        <v>19</v>
      </c>
      <c r="C58" t="s">
        <v>1847</v>
      </c>
      <c r="D58" t="s">
        <v>176</v>
      </c>
      <c r="E58" t="s">
        <v>1848</v>
      </c>
      <c r="F58" s="28">
        <v>2.397685185185185E-2</v>
      </c>
      <c r="G58" s="1" t="s">
        <v>178</v>
      </c>
      <c r="H58" s="6">
        <f>COUNTIF(ValidTeams[],E58)</f>
        <v>1</v>
      </c>
    </row>
    <row r="59" spans="1:8" x14ac:dyDescent="0.25">
      <c r="A59" s="1">
        <v>3</v>
      </c>
      <c r="B59">
        <f t="shared" si="4"/>
        <v>18</v>
      </c>
      <c r="C59" t="s">
        <v>1876</v>
      </c>
      <c r="D59" t="s">
        <v>184</v>
      </c>
      <c r="E59" t="s">
        <v>1960</v>
      </c>
      <c r="F59" s="28">
        <v>2.4460648148148148E-2</v>
      </c>
      <c r="G59" s="1" t="s">
        <v>178</v>
      </c>
      <c r="H59" s="6">
        <f>COUNTIF(ValidTeams[],E59)</f>
        <v>1</v>
      </c>
    </row>
    <row r="60" spans="1:8" x14ac:dyDescent="0.25">
      <c r="A60" s="1">
        <v>4</v>
      </c>
      <c r="B60">
        <f t="shared" si="4"/>
        <v>17</v>
      </c>
      <c r="C60" t="s">
        <v>1796</v>
      </c>
      <c r="D60" t="s">
        <v>187</v>
      </c>
      <c r="E60" t="s">
        <v>1977</v>
      </c>
      <c r="F60" s="28">
        <v>2.4475694444444442E-2</v>
      </c>
      <c r="G60" s="1" t="s">
        <v>178</v>
      </c>
      <c r="H60" s="6">
        <f>COUNTIF(ValidTeams[],E60)</f>
        <v>1</v>
      </c>
    </row>
    <row r="61" spans="1:8" x14ac:dyDescent="0.25">
      <c r="A61" s="1">
        <v>5</v>
      </c>
      <c r="B61">
        <f t="shared" si="4"/>
        <v>16</v>
      </c>
      <c r="C61" t="s">
        <v>1797</v>
      </c>
      <c r="D61" t="s">
        <v>817</v>
      </c>
      <c r="E61" t="s">
        <v>1978</v>
      </c>
      <c r="F61" s="28">
        <v>2.456712962962963E-2</v>
      </c>
      <c r="G61" s="1" t="s">
        <v>178</v>
      </c>
      <c r="H61" s="6">
        <f>COUNTIF(ValidTeams[],E61)</f>
        <v>1</v>
      </c>
    </row>
    <row r="62" spans="1:8" x14ac:dyDescent="0.25">
      <c r="A62" s="1">
        <v>6</v>
      </c>
      <c r="B62">
        <f t="shared" si="4"/>
        <v>15</v>
      </c>
      <c r="C62" t="s">
        <v>1979</v>
      </c>
      <c r="D62" t="s">
        <v>190</v>
      </c>
      <c r="E62" t="s">
        <v>1967</v>
      </c>
      <c r="F62" s="28">
        <v>2.4603009259259262E-2</v>
      </c>
      <c r="G62" s="1" t="s">
        <v>178</v>
      </c>
      <c r="H62" s="6">
        <f>COUNTIF(ValidTeams[],E62)</f>
        <v>1</v>
      </c>
    </row>
    <row r="63" spans="1:8" x14ac:dyDescent="0.25">
      <c r="A63" s="1">
        <v>7</v>
      </c>
      <c r="B63">
        <f t="shared" si="4"/>
        <v>14</v>
      </c>
      <c r="C63" t="s">
        <v>1877</v>
      </c>
      <c r="D63" t="s">
        <v>194</v>
      </c>
      <c r="E63" t="s">
        <v>1980</v>
      </c>
      <c r="F63" s="28">
        <v>2.5718749999999999E-2</v>
      </c>
      <c r="G63" s="1" t="s">
        <v>178</v>
      </c>
      <c r="H63" s="6">
        <f>COUNTIF(ValidTeams[],E63)</f>
        <v>1</v>
      </c>
    </row>
    <row r="64" spans="1:8" x14ac:dyDescent="0.25">
      <c r="A64" s="1">
        <v>8</v>
      </c>
      <c r="B64">
        <f t="shared" si="4"/>
        <v>13</v>
      </c>
      <c r="C64" t="s">
        <v>1981</v>
      </c>
      <c r="D64" t="s">
        <v>132</v>
      </c>
      <c r="E64" t="s">
        <v>1958</v>
      </c>
      <c r="F64" s="28">
        <v>2.6245370370370374E-2</v>
      </c>
      <c r="G64" s="1" t="s">
        <v>178</v>
      </c>
      <c r="H64" s="6">
        <f>COUNTIF(ValidTeams[],E64)</f>
        <v>1</v>
      </c>
    </row>
    <row r="65" spans="1:8" x14ac:dyDescent="0.25">
      <c r="A65" s="1">
        <v>9</v>
      </c>
      <c r="B65">
        <f t="shared" si="4"/>
        <v>12</v>
      </c>
      <c r="C65" t="s">
        <v>1803</v>
      </c>
      <c r="D65" t="s">
        <v>128</v>
      </c>
      <c r="E65" t="s">
        <v>1926</v>
      </c>
      <c r="F65" s="28">
        <v>2.6627314814814815E-2</v>
      </c>
      <c r="G65" s="1" t="s">
        <v>178</v>
      </c>
      <c r="H65" s="6">
        <f>COUNTIF(ValidTeams[],E65)</f>
        <v>1</v>
      </c>
    </row>
    <row r="66" spans="1:8" x14ac:dyDescent="0.25">
      <c r="F66" s="29"/>
    </row>
    <row r="67" spans="1:8" x14ac:dyDescent="0.25">
      <c r="A67" s="4" t="s">
        <v>0</v>
      </c>
      <c r="B67" s="4" t="s">
        <v>73</v>
      </c>
      <c r="C67" s="4" t="s">
        <v>1</v>
      </c>
      <c r="D67" s="4" t="s">
        <v>2</v>
      </c>
      <c r="E67" s="5" t="s">
        <v>3</v>
      </c>
      <c r="F67" s="31" t="s">
        <v>4</v>
      </c>
      <c r="G67" s="4" t="s">
        <v>5</v>
      </c>
      <c r="H67" s="4" t="s">
        <v>72</v>
      </c>
    </row>
    <row r="68" spans="1:8" x14ac:dyDescent="0.25">
      <c r="A68" s="1">
        <v>1</v>
      </c>
      <c r="B68">
        <f t="shared" ref="B68:B74" si="5">IF(H68=1,MAX(21-A68,0),0)</f>
        <v>0</v>
      </c>
      <c r="C68" t="s">
        <v>1982</v>
      </c>
      <c r="D68" t="s">
        <v>176</v>
      </c>
      <c r="E68" t="s">
        <v>1983</v>
      </c>
      <c r="F68" s="28">
        <v>2.325578703703704E-2</v>
      </c>
      <c r="G68" s="1" t="s">
        <v>217</v>
      </c>
      <c r="H68" s="6">
        <f>COUNTIF(ValidTeams[],E68)</f>
        <v>0</v>
      </c>
    </row>
    <row r="69" spans="1:8" x14ac:dyDescent="0.25">
      <c r="A69" s="1">
        <v>2</v>
      </c>
      <c r="B69">
        <f t="shared" si="5"/>
        <v>19</v>
      </c>
      <c r="C69" t="s">
        <v>1884</v>
      </c>
      <c r="D69" t="s">
        <v>1885</v>
      </c>
      <c r="E69" t="s">
        <v>1971</v>
      </c>
      <c r="F69" s="28">
        <v>2.444212962962963E-2</v>
      </c>
      <c r="G69" s="1" t="s">
        <v>217</v>
      </c>
      <c r="H69" s="6">
        <f>COUNTIF(ValidTeams[],E69)</f>
        <v>1</v>
      </c>
    </row>
    <row r="70" spans="1:8" x14ac:dyDescent="0.25">
      <c r="A70" s="1">
        <v>3</v>
      </c>
      <c r="B70">
        <f t="shared" si="5"/>
        <v>18</v>
      </c>
      <c r="C70" t="s">
        <v>1888</v>
      </c>
      <c r="D70" t="s">
        <v>114</v>
      </c>
      <c r="E70" t="s">
        <v>1971</v>
      </c>
      <c r="F70" s="28">
        <v>2.4726851851851851E-2</v>
      </c>
      <c r="G70" s="1" t="s">
        <v>217</v>
      </c>
      <c r="H70" s="6">
        <f>COUNTIF(ValidTeams[],E70)</f>
        <v>1</v>
      </c>
    </row>
    <row r="71" spans="1:8" x14ac:dyDescent="0.25">
      <c r="A71" s="1">
        <v>4</v>
      </c>
      <c r="B71">
        <f t="shared" si="5"/>
        <v>17</v>
      </c>
      <c r="C71" t="s">
        <v>1799</v>
      </c>
      <c r="D71" t="s">
        <v>221</v>
      </c>
      <c r="E71" t="s">
        <v>1971</v>
      </c>
      <c r="F71" s="28">
        <v>2.501273148148148E-2</v>
      </c>
      <c r="G71" s="1" t="s">
        <v>217</v>
      </c>
      <c r="H71" s="6">
        <f>COUNTIF(ValidTeams[],E71)</f>
        <v>1</v>
      </c>
    </row>
    <row r="72" spans="1:8" x14ac:dyDescent="0.25">
      <c r="A72" s="1">
        <v>5</v>
      </c>
      <c r="B72">
        <f t="shared" si="5"/>
        <v>0</v>
      </c>
      <c r="C72" t="s">
        <v>1984</v>
      </c>
      <c r="D72" t="s">
        <v>30</v>
      </c>
      <c r="E72"/>
      <c r="F72" s="28">
        <v>2.5363425925925928E-2</v>
      </c>
      <c r="G72" s="1" t="s">
        <v>217</v>
      </c>
      <c r="H72" s="6">
        <f>COUNTIF(ValidTeams[],E72)</f>
        <v>0</v>
      </c>
    </row>
    <row r="73" spans="1:8" x14ac:dyDescent="0.25">
      <c r="A73" s="1">
        <v>6</v>
      </c>
      <c r="B73">
        <f t="shared" si="5"/>
        <v>15</v>
      </c>
      <c r="C73" t="s">
        <v>1985</v>
      </c>
      <c r="D73" t="s">
        <v>174</v>
      </c>
      <c r="E73" t="s">
        <v>1986</v>
      </c>
      <c r="F73" s="28">
        <v>2.6443287037037036E-2</v>
      </c>
      <c r="G73" s="1" t="s">
        <v>217</v>
      </c>
      <c r="H73" s="6">
        <f>COUNTIF(ValidTeams[],E73)</f>
        <v>1</v>
      </c>
    </row>
    <row r="74" spans="1:8" x14ac:dyDescent="0.25">
      <c r="A74" s="1">
        <v>7</v>
      </c>
      <c r="B74">
        <f t="shared" si="5"/>
        <v>14</v>
      </c>
      <c r="C74" t="s">
        <v>1987</v>
      </c>
      <c r="D74" t="s">
        <v>225</v>
      </c>
      <c r="E74" t="s">
        <v>1986</v>
      </c>
      <c r="F74" s="28">
        <v>2.7331018518518518E-2</v>
      </c>
      <c r="G74" s="1" t="s">
        <v>217</v>
      </c>
      <c r="H74" s="6">
        <f>COUNTIF(ValidTeams[],E74)</f>
        <v>1</v>
      </c>
    </row>
    <row r="75" spans="1:8" x14ac:dyDescent="0.25">
      <c r="A75" s="1">
        <v>8</v>
      </c>
      <c r="B75" s="24">
        <f t="shared" ref="B75:B76" si="6">IF(H75=1,MAX(21-A75,0),0)</f>
        <v>0</v>
      </c>
      <c r="C75" t="s">
        <v>1988</v>
      </c>
      <c r="D75" t="s">
        <v>1989</v>
      </c>
      <c r="E75" t="s">
        <v>1990</v>
      </c>
      <c r="F75" s="28">
        <v>2.8061342592592589E-2</v>
      </c>
      <c r="G75" s="1" t="s">
        <v>217</v>
      </c>
      <c r="H75" s="24">
        <f>COUNTIF(ValidTeams[],E75)</f>
        <v>0</v>
      </c>
    </row>
    <row r="76" spans="1:8" x14ac:dyDescent="0.25">
      <c r="A76" s="6">
        <v>9</v>
      </c>
      <c r="B76" s="34">
        <f t="shared" si="6"/>
        <v>12</v>
      </c>
      <c r="C76" t="s">
        <v>1813</v>
      </c>
      <c r="D76" t="s">
        <v>696</v>
      </c>
      <c r="E76" t="s">
        <v>1971</v>
      </c>
      <c r="F76" s="28">
        <v>2.8528935185185181E-2</v>
      </c>
      <c r="G76" s="1" t="s">
        <v>217</v>
      </c>
      <c r="H76" s="34">
        <f>COUNTIF(ValidTeams[],E76)</f>
        <v>1</v>
      </c>
    </row>
    <row r="77" spans="1:8" x14ac:dyDescent="0.25">
      <c r="A77" s="6"/>
      <c r="B77" s="34"/>
      <c r="C77" s="6"/>
      <c r="D77" s="6"/>
      <c r="E77" s="21"/>
      <c r="F77" s="33"/>
      <c r="G77" s="6"/>
      <c r="H77" s="34"/>
    </row>
    <row r="78" spans="1:8" x14ac:dyDescent="0.25">
      <c r="A78" s="4" t="s">
        <v>0</v>
      </c>
      <c r="B78" s="4" t="s">
        <v>73</v>
      </c>
      <c r="C78" s="4" t="s">
        <v>1</v>
      </c>
      <c r="D78" s="4" t="s">
        <v>2</v>
      </c>
      <c r="E78" s="5" t="s">
        <v>3</v>
      </c>
      <c r="F78" s="31" t="s">
        <v>4</v>
      </c>
      <c r="G78" s="4" t="s">
        <v>5</v>
      </c>
      <c r="H78" s="4" t="s">
        <v>72</v>
      </c>
    </row>
    <row r="79" spans="1:8" x14ac:dyDescent="0.25">
      <c r="A79" s="1">
        <v>1</v>
      </c>
      <c r="B79">
        <f t="shared" ref="B79:B83" si="7">IF(H79=1,MAX(21-A79,0),0)</f>
        <v>20</v>
      </c>
      <c r="C79" t="s">
        <v>1817</v>
      </c>
      <c r="D79" t="s">
        <v>20</v>
      </c>
      <c r="E79" t="s">
        <v>1991</v>
      </c>
      <c r="F79" s="28">
        <v>2.4265046296296302E-2</v>
      </c>
      <c r="G79" s="1" t="s">
        <v>248</v>
      </c>
      <c r="H79" s="6">
        <f>COUNTIF(ValidTeams[],E79)</f>
        <v>1</v>
      </c>
    </row>
    <row r="80" spans="1:8" x14ac:dyDescent="0.25">
      <c r="A80" s="1">
        <v>2</v>
      </c>
      <c r="B80">
        <f t="shared" si="7"/>
        <v>0</v>
      </c>
      <c r="C80" t="s">
        <v>1992</v>
      </c>
      <c r="D80" t="s">
        <v>1005</v>
      </c>
      <c r="E80" t="s">
        <v>1993</v>
      </c>
      <c r="F80" s="28">
        <v>2.7284722222222221E-2</v>
      </c>
      <c r="G80" s="1" t="s">
        <v>248</v>
      </c>
      <c r="H80" s="6">
        <f>COUNTIF(ValidTeams[],E80)</f>
        <v>0</v>
      </c>
    </row>
    <row r="81" spans="1:8" x14ac:dyDescent="0.25">
      <c r="A81" s="1">
        <v>3</v>
      </c>
      <c r="B81">
        <f t="shared" si="7"/>
        <v>18</v>
      </c>
      <c r="C81" t="s">
        <v>1818</v>
      </c>
      <c r="D81" t="s">
        <v>250</v>
      </c>
      <c r="E81" t="s">
        <v>251</v>
      </c>
      <c r="F81" s="28">
        <v>2.8045138888888887E-2</v>
      </c>
      <c r="G81" s="1" t="s">
        <v>248</v>
      </c>
      <c r="H81" s="6">
        <f>COUNTIF(ValidTeams[],E81)</f>
        <v>1</v>
      </c>
    </row>
    <row r="82" spans="1:8" x14ac:dyDescent="0.25">
      <c r="A82">
        <v>4</v>
      </c>
      <c r="B82">
        <f t="shared" si="7"/>
        <v>0</v>
      </c>
      <c r="C82" t="s">
        <v>1822</v>
      </c>
      <c r="D82" t="s">
        <v>861</v>
      </c>
      <c r="E82" t="s">
        <v>1994</v>
      </c>
      <c r="F82" s="28">
        <v>2.8759259259259259E-2</v>
      </c>
      <c r="G82" t="s">
        <v>248</v>
      </c>
      <c r="H82">
        <f>COUNTIF(ValidTeams[],E82)</f>
        <v>0</v>
      </c>
    </row>
    <row r="83" spans="1:8" x14ac:dyDescent="0.25">
      <c r="A83">
        <v>5</v>
      </c>
      <c r="B83">
        <f t="shared" si="7"/>
        <v>16</v>
      </c>
      <c r="C83" t="s">
        <v>1995</v>
      </c>
      <c r="D83" t="s">
        <v>1996</v>
      </c>
      <c r="E83" t="s">
        <v>1997</v>
      </c>
      <c r="F83" s="28">
        <v>2.9159722222222226E-2</v>
      </c>
      <c r="G83" t="s">
        <v>248</v>
      </c>
      <c r="H83">
        <f>COUNTIF(ValidTeams[],E83)</f>
        <v>1</v>
      </c>
    </row>
    <row r="84" spans="1:8" x14ac:dyDescent="0.25">
      <c r="A84" s="1">
        <v>6</v>
      </c>
      <c r="B84" s="24">
        <f t="shared" ref="B84:B87" si="8">IF(H84=1,MAX(21-A84,0),0)</f>
        <v>15</v>
      </c>
      <c r="C84" t="s">
        <v>1820</v>
      </c>
      <c r="D84" t="s">
        <v>278</v>
      </c>
      <c r="E84" t="s">
        <v>1960</v>
      </c>
      <c r="F84" s="28">
        <v>2.9564814814814811E-2</v>
      </c>
      <c r="G84" t="s">
        <v>248</v>
      </c>
      <c r="H84" s="24">
        <f>COUNTIF(ValidTeams[],E84)</f>
        <v>1</v>
      </c>
    </row>
    <row r="85" spans="1:8" x14ac:dyDescent="0.25">
      <c r="A85" s="6">
        <v>7</v>
      </c>
      <c r="B85" s="34">
        <f t="shared" si="8"/>
        <v>0</v>
      </c>
      <c r="C85" t="s">
        <v>1826</v>
      </c>
      <c r="D85" t="s">
        <v>263</v>
      </c>
      <c r="E85"/>
      <c r="F85" s="28">
        <v>3.322337962962963E-2</v>
      </c>
      <c r="G85" t="s">
        <v>248</v>
      </c>
      <c r="H85" s="34">
        <f>COUNTIF(ValidTeams[],E85)</f>
        <v>0</v>
      </c>
    </row>
    <row r="86" spans="1:8" x14ac:dyDescent="0.25">
      <c r="A86" s="6">
        <v>8</v>
      </c>
      <c r="B86" s="34">
        <f t="shared" si="8"/>
        <v>0</v>
      </c>
      <c r="C86" t="s">
        <v>1998</v>
      </c>
      <c r="D86" t="s">
        <v>225</v>
      </c>
      <c r="E86" t="s">
        <v>1969</v>
      </c>
      <c r="F86" s="28">
        <v>3.4342592592592591E-2</v>
      </c>
      <c r="G86" t="s">
        <v>248</v>
      </c>
      <c r="H86" s="34">
        <f>COUNTIF(ValidTeams[],E86)</f>
        <v>0</v>
      </c>
    </row>
    <row r="87" spans="1:8" x14ac:dyDescent="0.25">
      <c r="A87" s="6">
        <v>9</v>
      </c>
      <c r="B87" s="34">
        <f t="shared" si="8"/>
        <v>0</v>
      </c>
      <c r="C87" t="s">
        <v>1827</v>
      </c>
      <c r="D87" t="s">
        <v>225</v>
      </c>
      <c r="E87" t="s">
        <v>1999</v>
      </c>
      <c r="F87" s="28">
        <v>3.451736111111111E-2</v>
      </c>
      <c r="G87" t="s">
        <v>248</v>
      </c>
      <c r="H87" s="34">
        <f>COUNTIF(ValidTeams[],E87)</f>
        <v>0</v>
      </c>
    </row>
    <row r="88" spans="1:8" x14ac:dyDescent="0.25">
      <c r="A88" s="6"/>
      <c r="B88" s="34"/>
      <c r="C88" s="6"/>
      <c r="D88" s="6"/>
      <c r="E88" s="21"/>
      <c r="F88" s="33"/>
      <c r="G88" s="6"/>
      <c r="H88" s="34"/>
    </row>
    <row r="89" spans="1:8" x14ac:dyDescent="0.25">
      <c r="A89" s="4" t="s">
        <v>0</v>
      </c>
      <c r="B89" s="4" t="s">
        <v>73</v>
      </c>
      <c r="C89" s="4" t="s">
        <v>1</v>
      </c>
      <c r="D89" s="4" t="s">
        <v>2</v>
      </c>
      <c r="E89" s="5" t="s">
        <v>3</v>
      </c>
      <c r="F89" s="31" t="s">
        <v>4</v>
      </c>
      <c r="G89" s="4" t="s">
        <v>5</v>
      </c>
      <c r="H89" s="4" t="s">
        <v>72</v>
      </c>
    </row>
    <row r="90" spans="1:8" x14ac:dyDescent="0.25">
      <c r="A90" s="1">
        <v>1</v>
      </c>
      <c r="B90">
        <f t="shared" ref="B90:B97" si="9">IF(H90=1,MAX(21-A90,0),0)</f>
        <v>20</v>
      </c>
      <c r="C90" t="s">
        <v>1931</v>
      </c>
      <c r="D90" t="s">
        <v>278</v>
      </c>
      <c r="E90" t="s">
        <v>1932</v>
      </c>
      <c r="F90" s="28">
        <v>2.3408564814814816E-2</v>
      </c>
      <c r="G90" s="1" t="s">
        <v>269</v>
      </c>
      <c r="H90" s="6">
        <f>COUNTIF(ValidTeams[],E90)</f>
        <v>1</v>
      </c>
    </row>
    <row r="91" spans="1:8" x14ac:dyDescent="0.25">
      <c r="A91" s="1">
        <v>2</v>
      </c>
      <c r="B91">
        <f t="shared" si="9"/>
        <v>19</v>
      </c>
      <c r="C91" t="s">
        <v>1830</v>
      </c>
      <c r="D91" t="s">
        <v>24</v>
      </c>
      <c r="E91" t="s">
        <v>1933</v>
      </c>
      <c r="F91" s="28">
        <v>2.4061342592592596E-2</v>
      </c>
      <c r="G91" s="1" t="s">
        <v>269</v>
      </c>
      <c r="H91" s="6">
        <f>COUNTIF(ValidTeams[],E91)</f>
        <v>1</v>
      </c>
    </row>
    <row r="92" spans="1:8" x14ac:dyDescent="0.25">
      <c r="A92" s="1">
        <v>3</v>
      </c>
      <c r="B92">
        <f t="shared" si="9"/>
        <v>0</v>
      </c>
      <c r="C92" t="s">
        <v>1934</v>
      </c>
      <c r="D92" t="s">
        <v>1935</v>
      </c>
      <c r="E92" t="s">
        <v>1936</v>
      </c>
      <c r="F92" s="28">
        <v>2.5273148148148145E-2</v>
      </c>
      <c r="G92" s="1" t="s">
        <v>269</v>
      </c>
      <c r="H92" s="6">
        <f>COUNTIF(ValidTeams[],E92)</f>
        <v>0</v>
      </c>
    </row>
    <row r="93" spans="1:8" x14ac:dyDescent="0.25">
      <c r="A93" s="1">
        <v>4</v>
      </c>
      <c r="B93">
        <f t="shared" si="9"/>
        <v>0</v>
      </c>
      <c r="C93" t="s">
        <v>1937</v>
      </c>
      <c r="D93" t="s">
        <v>260</v>
      </c>
      <c r="E93"/>
      <c r="F93" s="28">
        <v>2.6805555555555555E-2</v>
      </c>
      <c r="G93" s="1" t="s">
        <v>269</v>
      </c>
      <c r="H93" s="6">
        <f>COUNTIF(ValidTeams[],E93)</f>
        <v>0</v>
      </c>
    </row>
    <row r="94" spans="1:8" x14ac:dyDescent="0.25">
      <c r="A94" s="1">
        <v>5</v>
      </c>
      <c r="B94">
        <f t="shared" si="9"/>
        <v>16</v>
      </c>
      <c r="C94" t="s">
        <v>1833</v>
      </c>
      <c r="D94" t="s">
        <v>174</v>
      </c>
      <c r="E94" t="s">
        <v>1938</v>
      </c>
      <c r="F94" s="28">
        <v>2.7068287037037037E-2</v>
      </c>
      <c r="G94" s="1" t="s">
        <v>269</v>
      </c>
      <c r="H94" s="6">
        <f>COUNTIF(ValidTeams[],E94)</f>
        <v>1</v>
      </c>
    </row>
    <row r="95" spans="1:8" x14ac:dyDescent="0.25">
      <c r="A95" s="1">
        <v>6</v>
      </c>
      <c r="B95">
        <f t="shared" si="9"/>
        <v>0</v>
      </c>
      <c r="C95" t="s">
        <v>1834</v>
      </c>
      <c r="D95" t="s">
        <v>837</v>
      </c>
      <c r="E95" t="s">
        <v>1939</v>
      </c>
      <c r="F95" s="28">
        <v>2.7721064814814816E-2</v>
      </c>
      <c r="G95" s="1" t="s">
        <v>269</v>
      </c>
      <c r="H95" s="6">
        <f>COUNTIF(ValidTeams[],E95)</f>
        <v>0</v>
      </c>
    </row>
    <row r="96" spans="1:8" x14ac:dyDescent="0.25">
      <c r="A96" s="1">
        <v>7</v>
      </c>
      <c r="B96">
        <f t="shared" si="9"/>
        <v>0</v>
      </c>
      <c r="C96" t="s">
        <v>1940</v>
      </c>
      <c r="D96" t="s">
        <v>90</v>
      </c>
      <c r="E96"/>
      <c r="F96" s="28">
        <v>2.8386574074074074E-2</v>
      </c>
      <c r="G96" s="1" t="s">
        <v>269</v>
      </c>
      <c r="H96" s="6">
        <f>COUNTIF(ValidTeams[],E96)</f>
        <v>0</v>
      </c>
    </row>
    <row r="97" spans="1:8" x14ac:dyDescent="0.25">
      <c r="A97" s="1">
        <v>8</v>
      </c>
      <c r="B97">
        <f t="shared" si="9"/>
        <v>0</v>
      </c>
      <c r="C97" t="s">
        <v>1941</v>
      </c>
      <c r="D97" t="s">
        <v>105</v>
      </c>
      <c r="E97" t="s">
        <v>1942</v>
      </c>
      <c r="F97" s="28">
        <v>2.8424768518518519E-2</v>
      </c>
      <c r="G97" s="1" t="s">
        <v>269</v>
      </c>
      <c r="H97" s="6">
        <f>COUNTIF(ValidTeams[],E97)</f>
        <v>0</v>
      </c>
    </row>
    <row r="98" spans="1:8" x14ac:dyDescent="0.25">
      <c r="A98" s="1">
        <v>9</v>
      </c>
      <c r="B98" s="24">
        <f>IF(H98=1,MAX(21-A98,0),0)</f>
        <v>12</v>
      </c>
      <c r="C98" t="s">
        <v>1943</v>
      </c>
      <c r="D98" t="s">
        <v>310</v>
      </c>
      <c r="E98" t="s">
        <v>505</v>
      </c>
      <c r="F98" s="28">
        <v>2.9526620370370366E-2</v>
      </c>
      <c r="G98" s="1" t="s">
        <v>269</v>
      </c>
      <c r="H98" s="24">
        <f>COUNTIF(ValidTeams[],E98)</f>
        <v>1</v>
      </c>
    </row>
    <row r="99" spans="1:8" x14ac:dyDescent="0.25">
      <c r="F99" s="29"/>
    </row>
    <row r="100" spans="1:8" x14ac:dyDescent="0.25">
      <c r="A100" s="4" t="s">
        <v>0</v>
      </c>
      <c r="B100" s="4" t="s">
        <v>73</v>
      </c>
      <c r="C100" s="4" t="s">
        <v>1</v>
      </c>
      <c r="D100" s="4" t="s">
        <v>2</v>
      </c>
      <c r="E100" s="5" t="s">
        <v>3</v>
      </c>
      <c r="F100" s="31" t="s">
        <v>4</v>
      </c>
      <c r="G100" s="4" t="s">
        <v>5</v>
      </c>
      <c r="H100" s="4" t="s">
        <v>72</v>
      </c>
    </row>
    <row r="101" spans="1:8" x14ac:dyDescent="0.25">
      <c r="A101" s="1">
        <v>1</v>
      </c>
      <c r="B101">
        <f t="shared" ref="B101:B105" si="10">IF(H101=1,MAX(21-A101,0),0)</f>
        <v>20</v>
      </c>
      <c r="C101" t="s">
        <v>1890</v>
      </c>
      <c r="D101" t="s">
        <v>330</v>
      </c>
      <c r="E101" t="s">
        <v>2022</v>
      </c>
      <c r="F101" s="27">
        <v>2.6987268518518518E-2</v>
      </c>
      <c r="G101" s="1" t="s">
        <v>331</v>
      </c>
      <c r="H101" s="6">
        <f>COUNTIF(ValidTeams[],E101)</f>
        <v>1</v>
      </c>
    </row>
    <row r="102" spans="1:8" x14ac:dyDescent="0.25">
      <c r="A102" s="1">
        <v>2</v>
      </c>
      <c r="B102">
        <f t="shared" si="10"/>
        <v>0</v>
      </c>
      <c r="C102" t="s">
        <v>2023</v>
      </c>
      <c r="D102" t="s">
        <v>2024</v>
      </c>
      <c r="E102" t="s">
        <v>1956</v>
      </c>
      <c r="F102" s="27">
        <v>3.0202546296296293E-2</v>
      </c>
      <c r="G102" s="1" t="s">
        <v>331</v>
      </c>
      <c r="H102" s="6">
        <f>COUNTIF(ValidTeams[],E102)</f>
        <v>0</v>
      </c>
    </row>
    <row r="103" spans="1:8" x14ac:dyDescent="0.25">
      <c r="A103" s="1">
        <v>3</v>
      </c>
      <c r="B103">
        <f t="shared" si="10"/>
        <v>18</v>
      </c>
      <c r="C103" t="s">
        <v>2025</v>
      </c>
      <c r="D103" t="s">
        <v>1622</v>
      </c>
      <c r="E103" t="s">
        <v>2026</v>
      </c>
      <c r="F103" s="27">
        <v>3.0841435185185187E-2</v>
      </c>
      <c r="G103" s="1" t="s">
        <v>331</v>
      </c>
      <c r="H103" s="6">
        <f>COUNTIF(ValidTeams[],E103)</f>
        <v>1</v>
      </c>
    </row>
    <row r="104" spans="1:8" x14ac:dyDescent="0.25">
      <c r="A104" s="1">
        <v>4</v>
      </c>
      <c r="B104" s="1">
        <f t="shared" si="10"/>
        <v>0</v>
      </c>
      <c r="C104" t="s">
        <v>2027</v>
      </c>
      <c r="D104" t="s">
        <v>2028</v>
      </c>
      <c r="E104" t="s">
        <v>2029</v>
      </c>
      <c r="F104" s="27">
        <v>3.117013888888889E-2</v>
      </c>
      <c r="G104" s="1" t="s">
        <v>331</v>
      </c>
      <c r="H104" s="24">
        <f>COUNTIF(ValidTeams[],E104)</f>
        <v>0</v>
      </c>
    </row>
    <row r="105" spans="1:8" x14ac:dyDescent="0.25">
      <c r="A105" s="6">
        <v>5</v>
      </c>
      <c r="B105" s="6">
        <f t="shared" si="10"/>
        <v>0</v>
      </c>
      <c r="C105" t="s">
        <v>1895</v>
      </c>
      <c r="D105" t="s">
        <v>911</v>
      </c>
      <c r="E105" t="s">
        <v>2030</v>
      </c>
      <c r="F105" s="27">
        <v>3.628935185185185E-2</v>
      </c>
      <c r="G105" s="1" t="s">
        <v>331</v>
      </c>
      <c r="H105" s="34">
        <f>COUNTIF(ValidTeams[],E105)</f>
        <v>0</v>
      </c>
    </row>
    <row r="106" spans="1:8" x14ac:dyDescent="0.25">
      <c r="A106" s="1">
        <v>6</v>
      </c>
      <c r="B106" s="1">
        <f>IF(H106=1,MAX(21-A106,0),0)</f>
        <v>15</v>
      </c>
      <c r="C106" t="s">
        <v>1894</v>
      </c>
      <c r="D106" t="s">
        <v>352</v>
      </c>
      <c r="E106" t="s">
        <v>1926</v>
      </c>
      <c r="F106" s="27">
        <v>3.6657407407407409E-2</v>
      </c>
      <c r="G106" s="1" t="s">
        <v>331</v>
      </c>
      <c r="H106" s="24">
        <f>COUNTIF(ValidTeams[],E106)</f>
        <v>1</v>
      </c>
    </row>
    <row r="107" spans="1:8" x14ac:dyDescent="0.25">
      <c r="A107" s="6"/>
      <c r="B107" s="6"/>
      <c r="C107" s="6"/>
      <c r="D107" s="6"/>
      <c r="E107" s="21"/>
      <c r="F107" s="33"/>
      <c r="G107" s="6"/>
      <c r="H107" s="34"/>
    </row>
    <row r="108" spans="1:8" x14ac:dyDescent="0.25">
      <c r="A108" s="4" t="s">
        <v>0</v>
      </c>
      <c r="B108" s="4" t="s">
        <v>73</v>
      </c>
      <c r="C108" s="4" t="s">
        <v>1</v>
      </c>
      <c r="D108" s="4" t="s">
        <v>2</v>
      </c>
      <c r="E108" s="5" t="s">
        <v>3</v>
      </c>
      <c r="F108" s="31" t="s">
        <v>4</v>
      </c>
      <c r="G108" s="4" t="s">
        <v>5</v>
      </c>
      <c r="H108" s="4" t="s">
        <v>72</v>
      </c>
    </row>
    <row r="109" spans="1:8" x14ac:dyDescent="0.25">
      <c r="A109" s="1">
        <v>1</v>
      </c>
      <c r="B109">
        <f t="shared" ref="B109:B113" si="11">IF(H109=1,MAX(21-A109,0),0)</f>
        <v>0</v>
      </c>
      <c r="C109" t="s">
        <v>2002</v>
      </c>
      <c r="D109" t="s">
        <v>174</v>
      </c>
      <c r="E109" t="s">
        <v>2003</v>
      </c>
      <c r="F109" s="27">
        <v>2.3413194444444448E-2</v>
      </c>
      <c r="G109" s="1" t="s">
        <v>363</v>
      </c>
      <c r="H109" s="6">
        <f>COUNTIF(ValidTeams[],E109)</f>
        <v>0</v>
      </c>
    </row>
    <row r="110" spans="1:8" x14ac:dyDescent="0.25">
      <c r="A110" s="1">
        <v>2</v>
      </c>
      <c r="B110">
        <f t="shared" si="11"/>
        <v>19</v>
      </c>
      <c r="C110" t="s">
        <v>2004</v>
      </c>
      <c r="D110" t="s">
        <v>30</v>
      </c>
      <c r="E110" t="s">
        <v>389</v>
      </c>
      <c r="F110" s="27">
        <v>2.3929398148148151E-2</v>
      </c>
      <c r="G110" s="1" t="s">
        <v>363</v>
      </c>
      <c r="H110" s="6">
        <f>COUNTIF(ValidTeams[],E110)</f>
        <v>1</v>
      </c>
    </row>
    <row r="111" spans="1:8" x14ac:dyDescent="0.25">
      <c r="A111" s="1">
        <v>3</v>
      </c>
      <c r="B111">
        <f t="shared" si="11"/>
        <v>0</v>
      </c>
      <c r="C111" t="s">
        <v>1808</v>
      </c>
      <c r="D111" t="s">
        <v>1125</v>
      </c>
      <c r="E111" t="s">
        <v>2005</v>
      </c>
      <c r="F111" s="27">
        <v>2.4437499999999997E-2</v>
      </c>
      <c r="G111" s="1" t="s">
        <v>363</v>
      </c>
      <c r="H111" s="6">
        <f>COUNTIF(ValidTeams[],E111)</f>
        <v>0</v>
      </c>
    </row>
    <row r="112" spans="1:8" x14ac:dyDescent="0.25">
      <c r="A112" s="1">
        <v>4</v>
      </c>
      <c r="B112">
        <f t="shared" si="11"/>
        <v>17</v>
      </c>
      <c r="C112" t="s">
        <v>2006</v>
      </c>
      <c r="D112" t="s">
        <v>2007</v>
      </c>
      <c r="E112" t="s">
        <v>1918</v>
      </c>
      <c r="F112" s="27">
        <v>2.4527777777777777E-2</v>
      </c>
      <c r="G112" s="1" t="s">
        <v>363</v>
      </c>
      <c r="H112" s="6">
        <f>COUNTIF(ValidTeams[],E112)</f>
        <v>1</v>
      </c>
    </row>
    <row r="113" spans="1:8" x14ac:dyDescent="0.25">
      <c r="A113" s="1">
        <v>5</v>
      </c>
      <c r="B113" s="1">
        <f t="shared" si="11"/>
        <v>16</v>
      </c>
      <c r="C113" t="s">
        <v>2008</v>
      </c>
      <c r="D113" t="s">
        <v>287</v>
      </c>
      <c r="E113" t="s">
        <v>1926</v>
      </c>
      <c r="F113" s="27">
        <v>2.501851851851852E-2</v>
      </c>
      <c r="G113" s="1" t="s">
        <v>363</v>
      </c>
      <c r="H113" s="24">
        <f>COUNTIF(ValidTeams[],E113)</f>
        <v>1</v>
      </c>
    </row>
    <row r="114" spans="1:8" x14ac:dyDescent="0.25">
      <c r="A114" s="1">
        <v>6</v>
      </c>
      <c r="B114" s="1">
        <f t="shared" ref="B114:B120" si="12">IF(H114=1,MAX(21-A114,0),0)</f>
        <v>0</v>
      </c>
      <c r="C114" t="s">
        <v>2009</v>
      </c>
      <c r="D114" t="s">
        <v>1215</v>
      </c>
      <c r="E114" t="s">
        <v>2010</v>
      </c>
      <c r="F114" s="27">
        <v>2.5201388888888888E-2</v>
      </c>
      <c r="G114" s="1" t="s">
        <v>363</v>
      </c>
      <c r="H114" s="24">
        <f>COUNTIF(ValidTeams[],E114)</f>
        <v>0</v>
      </c>
    </row>
    <row r="115" spans="1:8" x14ac:dyDescent="0.25">
      <c r="A115" s="6">
        <v>7</v>
      </c>
      <c r="B115" s="6">
        <f t="shared" si="12"/>
        <v>0</v>
      </c>
      <c r="C115" t="s">
        <v>2011</v>
      </c>
      <c r="D115" t="s">
        <v>2012</v>
      </c>
      <c r="E115" t="s">
        <v>1969</v>
      </c>
      <c r="F115" s="27">
        <v>2.5712962962962962E-2</v>
      </c>
      <c r="G115" s="1" t="s">
        <v>363</v>
      </c>
      <c r="H115" s="34">
        <f>COUNTIF(ValidTeams[],E115)</f>
        <v>0</v>
      </c>
    </row>
    <row r="116" spans="1:8" x14ac:dyDescent="0.25">
      <c r="A116" s="6">
        <v>8</v>
      </c>
      <c r="B116" s="6">
        <f t="shared" si="12"/>
        <v>0</v>
      </c>
      <c r="C116" t="s">
        <v>2013</v>
      </c>
      <c r="D116" t="s">
        <v>2014</v>
      </c>
      <c r="E116"/>
      <c r="F116" s="27">
        <v>2.5993055555555557E-2</v>
      </c>
      <c r="G116" s="1" t="s">
        <v>363</v>
      </c>
      <c r="H116" s="34">
        <f>COUNTIF(ValidTeams[],E116)</f>
        <v>0</v>
      </c>
    </row>
    <row r="117" spans="1:8" x14ac:dyDescent="0.25">
      <c r="A117" s="6">
        <v>9</v>
      </c>
      <c r="B117" s="6">
        <f t="shared" si="12"/>
        <v>0</v>
      </c>
      <c r="C117" t="s">
        <v>2015</v>
      </c>
      <c r="D117" t="s">
        <v>2016</v>
      </c>
      <c r="E117" t="s">
        <v>2017</v>
      </c>
      <c r="F117" s="27">
        <v>2.6711805555555555E-2</v>
      </c>
      <c r="G117" s="1" t="s">
        <v>363</v>
      </c>
      <c r="H117" s="34">
        <f>COUNTIF(ValidTeams[],E117)</f>
        <v>0</v>
      </c>
    </row>
    <row r="118" spans="1:8" x14ac:dyDescent="0.25">
      <c r="A118" s="6">
        <v>10</v>
      </c>
      <c r="B118" s="6">
        <f t="shared" si="12"/>
        <v>11</v>
      </c>
      <c r="C118" t="s">
        <v>2018</v>
      </c>
      <c r="D118" t="s">
        <v>796</v>
      </c>
      <c r="E118" t="s">
        <v>1926</v>
      </c>
      <c r="F118" s="27">
        <v>2.7386574074074074E-2</v>
      </c>
      <c r="G118" s="1" t="s">
        <v>363</v>
      </c>
      <c r="H118" s="34">
        <f>COUNTIF(ValidTeams[],E118)</f>
        <v>1</v>
      </c>
    </row>
    <row r="119" spans="1:8" x14ac:dyDescent="0.25">
      <c r="A119" s="6">
        <v>11</v>
      </c>
      <c r="B119" s="6">
        <f t="shared" si="12"/>
        <v>10</v>
      </c>
      <c r="C119" t="s">
        <v>2019</v>
      </c>
      <c r="D119" t="s">
        <v>7</v>
      </c>
      <c r="E119" t="s">
        <v>18</v>
      </c>
      <c r="F119" s="27">
        <v>2.8385416666666666E-2</v>
      </c>
      <c r="G119" s="1" t="s">
        <v>363</v>
      </c>
      <c r="H119" s="34">
        <f>COUNTIF(ValidTeams[],E119)</f>
        <v>1</v>
      </c>
    </row>
    <row r="120" spans="1:8" x14ac:dyDescent="0.25">
      <c r="A120" s="6">
        <v>12</v>
      </c>
      <c r="B120" s="6">
        <f t="shared" si="12"/>
        <v>0</v>
      </c>
      <c r="C120" t="s">
        <v>2020</v>
      </c>
      <c r="D120" t="s">
        <v>1269</v>
      </c>
      <c r="E120"/>
      <c r="F120" s="27">
        <v>3.2232638888888887E-2</v>
      </c>
      <c r="G120" s="1" t="s">
        <v>363</v>
      </c>
      <c r="H120" s="34">
        <f>COUNTIF(ValidTeams[],E120)</f>
        <v>0</v>
      </c>
    </row>
    <row r="121" spans="1:8" x14ac:dyDescent="0.25">
      <c r="A121" s="6"/>
      <c r="B121" s="6"/>
      <c r="C121" s="6"/>
      <c r="D121" s="6"/>
      <c r="E121" s="21"/>
      <c r="F121" s="33"/>
      <c r="G121" s="6"/>
      <c r="H121" s="34"/>
    </row>
    <row r="122" spans="1:8" x14ac:dyDescent="0.25">
      <c r="A122" s="4" t="s">
        <v>0</v>
      </c>
      <c r="B122" s="4" t="s">
        <v>73</v>
      </c>
      <c r="C122" s="4" t="s">
        <v>1</v>
      </c>
      <c r="D122" s="4" t="s">
        <v>2</v>
      </c>
      <c r="E122" s="5" t="s">
        <v>3</v>
      </c>
      <c r="F122" s="31" t="s">
        <v>4</v>
      </c>
      <c r="G122" s="4" t="s">
        <v>5</v>
      </c>
      <c r="H122" s="4" t="s">
        <v>72</v>
      </c>
    </row>
    <row r="123" spans="1:8" x14ac:dyDescent="0.25">
      <c r="A123" s="1">
        <v>1</v>
      </c>
      <c r="B123">
        <f t="shared" ref="B123:B125" si="13">IF(H123=1,MAX(21-A123,0),0)</f>
        <v>0</v>
      </c>
      <c r="C123" t="s">
        <v>2039</v>
      </c>
      <c r="D123" t="s">
        <v>1724</v>
      </c>
      <c r="E123" t="s">
        <v>2040</v>
      </c>
      <c r="F123" s="27">
        <v>2.732407407407407E-2</v>
      </c>
      <c r="G123" s="1" t="s">
        <v>399</v>
      </c>
      <c r="H123" s="6">
        <f>COUNTIF(ValidTeams[],E123)</f>
        <v>0</v>
      </c>
    </row>
    <row r="124" spans="1:8" x14ac:dyDescent="0.25">
      <c r="A124" s="1">
        <v>2</v>
      </c>
      <c r="B124">
        <f t="shared" si="13"/>
        <v>0</v>
      </c>
      <c r="C124" t="s">
        <v>2041</v>
      </c>
      <c r="D124" t="s">
        <v>2042</v>
      </c>
      <c r="E124" t="s">
        <v>2043</v>
      </c>
      <c r="F124" s="27">
        <v>2.8844907407407406E-2</v>
      </c>
      <c r="G124" s="1" t="s">
        <v>399</v>
      </c>
      <c r="H124" s="6">
        <f>COUNTIF(ValidTeams[],E124)</f>
        <v>0</v>
      </c>
    </row>
    <row r="125" spans="1:8" x14ac:dyDescent="0.25">
      <c r="A125" s="1">
        <v>3</v>
      </c>
      <c r="B125">
        <f t="shared" si="13"/>
        <v>18</v>
      </c>
      <c r="C125" t="s">
        <v>1785</v>
      </c>
      <c r="D125" t="s">
        <v>903</v>
      </c>
      <c r="E125" t="s">
        <v>1918</v>
      </c>
      <c r="F125" s="27">
        <v>2.9480324074074072E-2</v>
      </c>
      <c r="G125" s="1" t="s">
        <v>399</v>
      </c>
      <c r="H125" s="6">
        <f>COUNTIF(ValidTeams[],E125)</f>
        <v>1</v>
      </c>
    </row>
    <row r="126" spans="1:8" x14ac:dyDescent="0.25">
      <c r="A126" s="1">
        <v>4</v>
      </c>
      <c r="B126" s="1">
        <f>IF(H126=1,MAX(21-A126,0),0)</f>
        <v>17</v>
      </c>
      <c r="C126" t="s">
        <v>1900</v>
      </c>
      <c r="D126" t="s">
        <v>81</v>
      </c>
      <c r="E126" t="s">
        <v>1972</v>
      </c>
      <c r="F126" s="27">
        <v>3.8231481481481484E-2</v>
      </c>
      <c r="G126" s="1" t="s">
        <v>399</v>
      </c>
      <c r="H126" s="24">
        <f>COUNTIF(ValidTeams[],E126)</f>
        <v>1</v>
      </c>
    </row>
    <row r="127" spans="1:8" x14ac:dyDescent="0.25">
      <c r="A127" s="6"/>
      <c r="B127" s="6"/>
      <c r="C127" s="6"/>
      <c r="D127" s="6"/>
      <c r="E127" s="21"/>
      <c r="F127" s="33"/>
      <c r="G127" s="6"/>
      <c r="H127" s="34"/>
    </row>
    <row r="128" spans="1:8" x14ac:dyDescent="0.25">
      <c r="A128" s="4" t="s">
        <v>0</v>
      </c>
      <c r="B128" s="4" t="s">
        <v>73</v>
      </c>
      <c r="C128" s="4" t="s">
        <v>1</v>
      </c>
      <c r="D128" s="4" t="s">
        <v>2</v>
      </c>
      <c r="E128" s="5" t="s">
        <v>3</v>
      </c>
      <c r="F128" s="31" t="s">
        <v>4</v>
      </c>
      <c r="G128" s="4" t="s">
        <v>5</v>
      </c>
      <c r="H128" s="4" t="s">
        <v>72</v>
      </c>
    </row>
    <row r="129" spans="1:8" x14ac:dyDescent="0.25">
      <c r="A129" s="1">
        <v>1</v>
      </c>
      <c r="B129">
        <f t="shared" ref="B129:B136" si="14">IF(H129=1,MAX(21-A129,0),0)</f>
        <v>0</v>
      </c>
      <c r="C129" t="s">
        <v>1915</v>
      </c>
      <c r="D129" t="s">
        <v>174</v>
      </c>
      <c r="E129" t="s">
        <v>1929</v>
      </c>
      <c r="F129" s="28">
        <v>2.0636574074074075E-2</v>
      </c>
      <c r="G129" s="1" t="s">
        <v>405</v>
      </c>
      <c r="H129" s="6">
        <f>COUNTIF(ValidTeams[],E129)</f>
        <v>0</v>
      </c>
    </row>
    <row r="130" spans="1:8" x14ac:dyDescent="0.25">
      <c r="A130" s="1">
        <v>2</v>
      </c>
      <c r="B130">
        <f t="shared" si="14"/>
        <v>19</v>
      </c>
      <c r="C130" t="s">
        <v>1916</v>
      </c>
      <c r="D130" t="s">
        <v>186</v>
      </c>
      <c r="E130" t="s">
        <v>1917</v>
      </c>
      <c r="F130" s="28">
        <v>2.0864583333333336E-2</v>
      </c>
      <c r="G130" s="1" t="s">
        <v>405</v>
      </c>
      <c r="H130" s="6">
        <f>COUNTIF(ValidTeams[],E130)</f>
        <v>1</v>
      </c>
    </row>
    <row r="131" spans="1:8" x14ac:dyDescent="0.25">
      <c r="A131" s="1">
        <v>3</v>
      </c>
      <c r="B131">
        <f t="shared" si="14"/>
        <v>18</v>
      </c>
      <c r="C131" t="s">
        <v>1785</v>
      </c>
      <c r="D131" t="s">
        <v>318</v>
      </c>
      <c r="E131" t="s">
        <v>1918</v>
      </c>
      <c r="F131" s="28">
        <v>2.1840277777777778E-2</v>
      </c>
      <c r="G131" s="1" t="s">
        <v>405</v>
      </c>
      <c r="H131" s="6">
        <f>COUNTIF(ValidTeams[],E131)</f>
        <v>1</v>
      </c>
    </row>
    <row r="132" spans="1:8" x14ac:dyDescent="0.25">
      <c r="A132" s="1">
        <v>4</v>
      </c>
      <c r="B132">
        <f t="shared" si="14"/>
        <v>17</v>
      </c>
      <c r="C132" t="s">
        <v>1788</v>
      </c>
      <c r="D132" t="s">
        <v>225</v>
      </c>
      <c r="E132" t="s">
        <v>1919</v>
      </c>
      <c r="F132" s="28">
        <v>2.2079861111111113E-2</v>
      </c>
      <c r="G132" s="1" t="s">
        <v>405</v>
      </c>
      <c r="H132" s="6">
        <f>COUNTIF(ValidTeams[],E132)</f>
        <v>1</v>
      </c>
    </row>
    <row r="133" spans="1:8" x14ac:dyDescent="0.25">
      <c r="A133" s="1">
        <v>5</v>
      </c>
      <c r="B133">
        <f t="shared" si="14"/>
        <v>0</v>
      </c>
      <c r="C133" t="s">
        <v>1920</v>
      </c>
      <c r="D133" t="s">
        <v>1921</v>
      </c>
      <c r="E133" t="s">
        <v>1930</v>
      </c>
      <c r="F133" s="28">
        <v>2.2578703703703708E-2</v>
      </c>
      <c r="G133" s="1" t="s">
        <v>405</v>
      </c>
      <c r="H133" s="6">
        <f>COUNTIF(ValidTeams[],E133)</f>
        <v>0</v>
      </c>
    </row>
    <row r="134" spans="1:8" x14ac:dyDescent="0.25">
      <c r="A134" s="1">
        <v>6</v>
      </c>
      <c r="B134">
        <f t="shared" si="14"/>
        <v>15</v>
      </c>
      <c r="C134" t="s">
        <v>1786</v>
      </c>
      <c r="D134" t="s">
        <v>412</v>
      </c>
      <c r="E134" t="s">
        <v>1922</v>
      </c>
      <c r="F134" s="28">
        <v>2.2851851851851849E-2</v>
      </c>
      <c r="G134" s="1" t="s">
        <v>405</v>
      </c>
      <c r="H134" s="6">
        <f>COUNTIF(ValidTeams[],E134)</f>
        <v>1</v>
      </c>
    </row>
    <row r="135" spans="1:8" x14ac:dyDescent="0.25">
      <c r="A135" s="1">
        <v>7</v>
      </c>
      <c r="B135">
        <f t="shared" si="14"/>
        <v>14</v>
      </c>
      <c r="C135" t="s">
        <v>1923</v>
      </c>
      <c r="D135" t="s">
        <v>30</v>
      </c>
      <c r="E135" t="s">
        <v>1924</v>
      </c>
      <c r="F135" s="28">
        <v>2.3620370370370371E-2</v>
      </c>
      <c r="G135" s="1" t="s">
        <v>405</v>
      </c>
      <c r="H135" s="6">
        <f>COUNTIF(ValidTeams[],E135)</f>
        <v>1</v>
      </c>
    </row>
    <row r="136" spans="1:8" x14ac:dyDescent="0.25">
      <c r="A136" s="1">
        <v>8</v>
      </c>
      <c r="B136" s="1">
        <f t="shared" si="14"/>
        <v>13</v>
      </c>
      <c r="C136" t="s">
        <v>1925</v>
      </c>
      <c r="D136" t="s">
        <v>23</v>
      </c>
      <c r="E136" t="s">
        <v>1926</v>
      </c>
      <c r="F136" s="28">
        <v>2.3979166666666666E-2</v>
      </c>
      <c r="G136" s="1" t="s">
        <v>405</v>
      </c>
      <c r="H136" s="24">
        <f>COUNTIF(ValidTeams[],E136)</f>
        <v>1</v>
      </c>
    </row>
    <row r="137" spans="1:8" x14ac:dyDescent="0.25">
      <c r="A137" s="1">
        <v>9</v>
      </c>
      <c r="B137" s="1">
        <f>IF(H137=1,MAX(21-A137,0),0)</f>
        <v>12</v>
      </c>
      <c r="C137" t="s">
        <v>1927</v>
      </c>
      <c r="D137" t="s">
        <v>174</v>
      </c>
      <c r="E137" t="s">
        <v>1928</v>
      </c>
      <c r="F137" s="28">
        <v>2.427546296296296E-2</v>
      </c>
      <c r="G137" s="1" t="s">
        <v>405</v>
      </c>
      <c r="H137" s="24">
        <f>COUNTIF(ValidTeams[],E137)</f>
        <v>1</v>
      </c>
    </row>
    <row r="138" spans="1:8" x14ac:dyDescent="0.25">
      <c r="A138" s="6"/>
      <c r="B138" s="6"/>
      <c r="C138" s="6"/>
      <c r="D138" s="6"/>
      <c r="E138" s="21"/>
      <c r="F138" s="33"/>
      <c r="G138" s="6"/>
      <c r="H138" s="34"/>
    </row>
    <row r="139" spans="1:8" x14ac:dyDescent="0.25">
      <c r="A139" s="4" t="s">
        <v>0</v>
      </c>
      <c r="B139" s="4" t="s">
        <v>73</v>
      </c>
      <c r="C139" s="4" t="s">
        <v>1</v>
      </c>
      <c r="D139" s="4" t="s">
        <v>2</v>
      </c>
      <c r="E139" s="5" t="s">
        <v>3</v>
      </c>
      <c r="F139" s="31" t="s">
        <v>4</v>
      </c>
      <c r="G139" s="4" t="s">
        <v>5</v>
      </c>
      <c r="H139" s="4" t="s">
        <v>72</v>
      </c>
    </row>
    <row r="140" spans="1:8" x14ac:dyDescent="0.25">
      <c r="A140" s="1">
        <v>1</v>
      </c>
      <c r="B140">
        <f>IF(H140=1,MAX(21-A140,0),0)</f>
        <v>20</v>
      </c>
      <c r="C140" t="s">
        <v>2021</v>
      </c>
      <c r="D140" t="s">
        <v>428</v>
      </c>
      <c r="E140" t="s">
        <v>1967</v>
      </c>
      <c r="F140" s="27">
        <v>2.6273148148148153E-2</v>
      </c>
      <c r="G140" s="1" t="s">
        <v>426</v>
      </c>
      <c r="H140" s="6">
        <f>COUNTIF(ValidTeams[],E140)</f>
        <v>1</v>
      </c>
    </row>
    <row r="141" spans="1:8" x14ac:dyDescent="0.25">
      <c r="A141" s="1">
        <v>2</v>
      </c>
      <c r="B141">
        <f>IF(H141=1,MAX(21-A141,0),0)</f>
        <v>19</v>
      </c>
      <c r="C141" t="s">
        <v>1901</v>
      </c>
      <c r="D141" t="s">
        <v>431</v>
      </c>
      <c r="E141" t="s">
        <v>1960</v>
      </c>
      <c r="F141" s="27">
        <v>2.7209490740740739E-2</v>
      </c>
      <c r="G141" s="1" t="s">
        <v>426</v>
      </c>
      <c r="H141" s="6">
        <f>COUNTIF(ValidTeams[],E141)</f>
        <v>1</v>
      </c>
    </row>
    <row r="142" spans="1:8" x14ac:dyDescent="0.25">
      <c r="A142" s="1">
        <v>3</v>
      </c>
      <c r="B142">
        <f>IF(H142=1,MAX(21-A142,0),0)</f>
        <v>18</v>
      </c>
      <c r="C142" t="s">
        <v>1902</v>
      </c>
      <c r="D142" t="s">
        <v>1361</v>
      </c>
      <c r="E142" t="s">
        <v>1926</v>
      </c>
      <c r="F142" s="27">
        <v>2.9142361111111112E-2</v>
      </c>
      <c r="G142" s="1" t="s">
        <v>426</v>
      </c>
      <c r="H142" s="6">
        <f>COUNTIF(ValidTeams[],E142)</f>
        <v>1</v>
      </c>
    </row>
    <row r="143" spans="1:8" x14ac:dyDescent="0.25">
      <c r="A143" s="1">
        <v>4</v>
      </c>
      <c r="B143" s="1">
        <f>IF(H143=1,MAX(21-A143,0),0)</f>
        <v>0</v>
      </c>
      <c r="E143"/>
      <c r="F143" s="28"/>
      <c r="G143" s="1" t="s">
        <v>426</v>
      </c>
      <c r="H143" s="6">
        <f>COUNTIF(ValidTeams[],E143)</f>
        <v>0</v>
      </c>
    </row>
    <row r="144" spans="1:8" x14ac:dyDescent="0.25">
      <c r="F144" s="29"/>
    </row>
    <row r="145" spans="6:6" x14ac:dyDescent="0.25">
      <c r="F145" s="29"/>
    </row>
    <row r="146" spans="6:6" x14ac:dyDescent="0.25">
      <c r="F146" s="29"/>
    </row>
    <row r="147" spans="6:6" x14ac:dyDescent="0.25">
      <c r="F147" s="29"/>
    </row>
    <row r="148" spans="6:6" x14ac:dyDescent="0.25">
      <c r="F148" s="29"/>
    </row>
    <row r="149" spans="6:6" x14ac:dyDescent="0.25">
      <c r="F149" s="29"/>
    </row>
    <row r="150" spans="6:6" x14ac:dyDescent="0.25">
      <c r="F150" s="29"/>
    </row>
    <row r="151" spans="6:6" x14ac:dyDescent="0.25">
      <c r="F151" s="29"/>
    </row>
    <row r="152" spans="6:6" x14ac:dyDescent="0.25">
      <c r="F152" s="29"/>
    </row>
    <row r="153" spans="6:6" x14ac:dyDescent="0.25">
      <c r="F153" s="29"/>
    </row>
    <row r="154" spans="6:6" x14ac:dyDescent="0.25">
      <c r="F154" s="29"/>
    </row>
    <row r="155" spans="6:6" x14ac:dyDescent="0.25">
      <c r="F155" s="29"/>
    </row>
    <row r="156" spans="6:6" x14ac:dyDescent="0.25">
      <c r="F156" s="29"/>
    </row>
    <row r="157" spans="6:6" x14ac:dyDescent="0.25">
      <c r="F157" s="29"/>
    </row>
    <row r="158" spans="6:6" x14ac:dyDescent="0.25">
      <c r="F158" s="29"/>
    </row>
    <row r="159" spans="6:6" x14ac:dyDescent="0.25">
      <c r="F159" s="29"/>
    </row>
    <row r="160" spans="6:6" x14ac:dyDescent="0.25">
      <c r="F160" s="29"/>
    </row>
    <row r="161" spans="6:6" x14ac:dyDescent="0.25">
      <c r="F161" s="29"/>
    </row>
    <row r="162" spans="6:6" x14ac:dyDescent="0.25">
      <c r="F162" s="29"/>
    </row>
    <row r="163" spans="6:6" x14ac:dyDescent="0.25">
      <c r="F163" s="29"/>
    </row>
    <row r="164" spans="6:6" x14ac:dyDescent="0.25">
      <c r="F164" s="29"/>
    </row>
    <row r="165" spans="6:6" x14ac:dyDescent="0.25">
      <c r="F165" s="29"/>
    </row>
    <row r="166" spans="6:6" x14ac:dyDescent="0.25">
      <c r="F166" s="29"/>
    </row>
    <row r="167" spans="6:6" x14ac:dyDescent="0.25">
      <c r="F167" s="29"/>
    </row>
    <row r="168" spans="6:6" x14ac:dyDescent="0.25">
      <c r="F168" s="29"/>
    </row>
    <row r="169" spans="6:6" x14ac:dyDescent="0.25">
      <c r="F169" s="29"/>
    </row>
    <row r="170" spans="6:6" x14ac:dyDescent="0.25">
      <c r="F170" s="29"/>
    </row>
    <row r="171" spans="6:6" x14ac:dyDescent="0.25">
      <c r="F171" s="29"/>
    </row>
    <row r="172" spans="6:6" x14ac:dyDescent="0.25">
      <c r="F172" s="29"/>
    </row>
    <row r="173" spans="6:6" x14ac:dyDescent="0.25">
      <c r="F173" s="29"/>
    </row>
    <row r="174" spans="6:6" x14ac:dyDescent="0.25">
      <c r="F174" s="29"/>
    </row>
    <row r="175" spans="6:6" x14ac:dyDescent="0.25">
      <c r="F175" s="29"/>
    </row>
    <row r="176" spans="6:6" x14ac:dyDescent="0.25">
      <c r="F176" s="29"/>
    </row>
    <row r="177" spans="6:6" x14ac:dyDescent="0.25">
      <c r="F177" s="29"/>
    </row>
    <row r="178" spans="6:6" x14ac:dyDescent="0.25">
      <c r="F178" s="29"/>
    </row>
    <row r="179" spans="6:6" x14ac:dyDescent="0.25">
      <c r="F179" s="29"/>
    </row>
    <row r="180" spans="6:6" x14ac:dyDescent="0.25">
      <c r="F180" s="29"/>
    </row>
    <row r="181" spans="6:6" x14ac:dyDescent="0.25">
      <c r="F181" s="29"/>
    </row>
    <row r="182" spans="6:6" x14ac:dyDescent="0.25">
      <c r="F182" s="29"/>
    </row>
    <row r="183" spans="6:6" x14ac:dyDescent="0.25">
      <c r="F183" s="29"/>
    </row>
    <row r="184" spans="6:6" x14ac:dyDescent="0.25">
      <c r="F184" s="29"/>
    </row>
    <row r="185" spans="6:6" x14ac:dyDescent="0.25">
      <c r="F185" s="29"/>
    </row>
    <row r="186" spans="6:6" x14ac:dyDescent="0.25">
      <c r="F186" s="29"/>
    </row>
    <row r="187" spans="6:6" x14ac:dyDescent="0.25">
      <c r="F187" s="29"/>
    </row>
    <row r="188" spans="6:6" x14ac:dyDescent="0.25">
      <c r="F188" s="29"/>
    </row>
    <row r="189" spans="6:6" x14ac:dyDescent="0.25">
      <c r="F189" s="29"/>
    </row>
    <row r="190" spans="6:6" x14ac:dyDescent="0.25">
      <c r="F190" s="29"/>
    </row>
    <row r="191" spans="6:6" x14ac:dyDescent="0.25">
      <c r="F191" s="29"/>
    </row>
    <row r="192" spans="6:6" x14ac:dyDescent="0.25">
      <c r="F192" s="29"/>
    </row>
    <row r="193" spans="6:6" x14ac:dyDescent="0.25">
      <c r="F193" s="29"/>
    </row>
    <row r="194" spans="6:6" x14ac:dyDescent="0.25">
      <c r="F194" s="29"/>
    </row>
    <row r="195" spans="6:6" x14ac:dyDescent="0.25">
      <c r="F195" s="29"/>
    </row>
    <row r="196" spans="6:6" x14ac:dyDescent="0.25">
      <c r="F196" s="29"/>
    </row>
    <row r="197" spans="6:6" x14ac:dyDescent="0.25">
      <c r="F197" s="29"/>
    </row>
    <row r="198" spans="6:6" x14ac:dyDescent="0.25">
      <c r="F198" s="29"/>
    </row>
    <row r="199" spans="6:6" x14ac:dyDescent="0.25">
      <c r="F199" s="29"/>
    </row>
    <row r="200" spans="6:6" x14ac:dyDescent="0.25">
      <c r="F200" s="29"/>
    </row>
    <row r="201" spans="6:6" x14ac:dyDescent="0.25">
      <c r="F201" s="29"/>
    </row>
    <row r="202" spans="6:6" x14ac:dyDescent="0.25">
      <c r="F202" s="29"/>
    </row>
    <row r="203" spans="6:6" x14ac:dyDescent="0.25">
      <c r="F203" s="29"/>
    </row>
    <row r="204" spans="6:6" x14ac:dyDescent="0.25">
      <c r="F204" s="29"/>
    </row>
    <row r="205" spans="6:6" x14ac:dyDescent="0.25">
      <c r="F205" s="29"/>
    </row>
    <row r="206" spans="6:6" x14ac:dyDescent="0.25">
      <c r="F206" s="29"/>
    </row>
    <row r="207" spans="6:6" x14ac:dyDescent="0.25">
      <c r="F207" s="29"/>
    </row>
    <row r="208" spans="6:6" x14ac:dyDescent="0.25">
      <c r="F208" s="29"/>
    </row>
    <row r="209" spans="6:6" x14ac:dyDescent="0.25">
      <c r="F209" s="29"/>
    </row>
    <row r="210" spans="6:6" x14ac:dyDescent="0.25">
      <c r="F210" s="29"/>
    </row>
    <row r="211" spans="6:6" x14ac:dyDescent="0.25">
      <c r="F211" s="29"/>
    </row>
    <row r="212" spans="6:6" x14ac:dyDescent="0.25">
      <c r="F212" s="29"/>
    </row>
    <row r="213" spans="6:6" x14ac:dyDescent="0.25">
      <c r="F213" s="29"/>
    </row>
    <row r="214" spans="6:6" x14ac:dyDescent="0.25">
      <c r="F214" s="29"/>
    </row>
    <row r="215" spans="6:6" x14ac:dyDescent="0.25">
      <c r="F215" s="29"/>
    </row>
    <row r="216" spans="6:6" x14ac:dyDescent="0.25">
      <c r="F216" s="29"/>
    </row>
    <row r="217" spans="6:6" x14ac:dyDescent="0.25">
      <c r="F217" s="29"/>
    </row>
    <row r="218" spans="6:6" x14ac:dyDescent="0.25">
      <c r="F218" s="29"/>
    </row>
    <row r="219" spans="6:6" x14ac:dyDescent="0.25">
      <c r="F219" s="29"/>
    </row>
    <row r="220" spans="6:6" x14ac:dyDescent="0.25">
      <c r="F220" s="29"/>
    </row>
    <row r="221" spans="6:6" x14ac:dyDescent="0.25">
      <c r="F221" s="29"/>
    </row>
    <row r="222" spans="6:6" x14ac:dyDescent="0.25">
      <c r="F222" s="29"/>
    </row>
    <row r="223" spans="6:6" x14ac:dyDescent="0.25">
      <c r="F223" s="29"/>
    </row>
    <row r="224" spans="6:6" x14ac:dyDescent="0.25">
      <c r="F224" s="29"/>
    </row>
    <row r="225" spans="6:6" x14ac:dyDescent="0.25">
      <c r="F225" s="29"/>
    </row>
  </sheetData>
  <conditionalFormatting sqref="H1:H1048576">
    <cfRule type="cellIs" dxfId="185" priority="1" operator="lessThan">
      <formula>1</formula>
    </cfRule>
  </conditionalFormatting>
  <pageMargins left="0.7" right="0.7" top="0.75" bottom="0.75" header="0.3" footer="0.3"/>
  <pageSetup scale="89" fitToHeight="0" orientation="landscape" horizontalDpi="4294967293" r:id="rId1"/>
  <tableParts count="1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88554D-9B96-4E13-BAFB-BFE69F3C70AC}">
  <sheetPr codeName="Sheet4"/>
  <dimension ref="A1:A77"/>
  <sheetViews>
    <sheetView topLeftCell="A25" workbookViewId="0">
      <selection activeCell="A27" sqref="A27"/>
    </sheetView>
  </sheetViews>
  <sheetFormatPr defaultRowHeight="15" x14ac:dyDescent="0.25"/>
  <cols>
    <col min="1" max="1" width="42.7109375" bestFit="1" customWidth="1"/>
  </cols>
  <sheetData>
    <row r="1" spans="1:1" x14ac:dyDescent="0.25">
      <c r="A1" t="s">
        <v>457</v>
      </c>
    </row>
    <row r="2" spans="1:1" x14ac:dyDescent="0.25">
      <c r="A2" t="s">
        <v>171</v>
      </c>
    </row>
    <row r="3" spans="1:1" x14ac:dyDescent="0.25">
      <c r="A3" t="s">
        <v>503</v>
      </c>
    </row>
    <row r="4" spans="1:1" x14ac:dyDescent="0.25">
      <c r="A4" t="s">
        <v>507</v>
      </c>
    </row>
    <row r="5" spans="1:1" x14ac:dyDescent="0.25">
      <c r="A5" s="21" t="s">
        <v>690</v>
      </c>
    </row>
    <row r="6" spans="1:1" x14ac:dyDescent="0.25">
      <c r="A6" t="s">
        <v>439</v>
      </c>
    </row>
    <row r="7" spans="1:1" x14ac:dyDescent="0.25">
      <c r="A7" t="s">
        <v>15</v>
      </c>
    </row>
    <row r="8" spans="1:1" x14ac:dyDescent="0.25">
      <c r="A8" t="s">
        <v>1510</v>
      </c>
    </row>
    <row r="9" spans="1:1" x14ac:dyDescent="0.25">
      <c r="A9" t="s">
        <v>440</v>
      </c>
    </row>
    <row r="10" spans="1:1" x14ac:dyDescent="0.25">
      <c r="A10" t="s">
        <v>441</v>
      </c>
    </row>
    <row r="11" spans="1:1" x14ac:dyDescent="0.25">
      <c r="A11" t="s">
        <v>91</v>
      </c>
    </row>
    <row r="12" spans="1:1" x14ac:dyDescent="0.25">
      <c r="A12" s="35" t="s">
        <v>433</v>
      </c>
    </row>
    <row r="13" spans="1:1" x14ac:dyDescent="0.25">
      <c r="A13" s="21" t="s">
        <v>617</v>
      </c>
    </row>
    <row r="14" spans="1:1" x14ac:dyDescent="0.25">
      <c r="A14" t="s">
        <v>251</v>
      </c>
    </row>
    <row r="15" spans="1:1" x14ac:dyDescent="0.25">
      <c r="A15" t="s">
        <v>504</v>
      </c>
    </row>
    <row r="16" spans="1:1" x14ac:dyDescent="0.25">
      <c r="A16" t="s">
        <v>88</v>
      </c>
    </row>
    <row r="17" spans="1:1" x14ac:dyDescent="0.25">
      <c r="A17" t="s">
        <v>389</v>
      </c>
    </row>
    <row r="18" spans="1:1" x14ac:dyDescent="0.25">
      <c r="A18" s="21" t="s">
        <v>407</v>
      </c>
    </row>
    <row r="19" spans="1:1" x14ac:dyDescent="0.25">
      <c r="A19" t="s">
        <v>226</v>
      </c>
    </row>
    <row r="20" spans="1:1" x14ac:dyDescent="0.25">
      <c r="A20" t="s">
        <v>349</v>
      </c>
    </row>
    <row r="21" spans="1:1" x14ac:dyDescent="0.25">
      <c r="A21" t="s">
        <v>442</v>
      </c>
    </row>
    <row r="22" spans="1:1" x14ac:dyDescent="0.25">
      <c r="A22" t="s">
        <v>443</v>
      </c>
    </row>
    <row r="23" spans="1:1" x14ac:dyDescent="0.25">
      <c r="A23" t="s">
        <v>444</v>
      </c>
    </row>
    <row r="24" spans="1:1" x14ac:dyDescent="0.25">
      <c r="A24" t="s">
        <v>930</v>
      </c>
    </row>
    <row r="25" spans="1:1" x14ac:dyDescent="0.25">
      <c r="A25" t="s">
        <v>275</v>
      </c>
    </row>
    <row r="26" spans="1:1" x14ac:dyDescent="0.25">
      <c r="A26" s="35" t="s">
        <v>191</v>
      </c>
    </row>
    <row r="27" spans="1:1" x14ac:dyDescent="0.25">
      <c r="A27" t="s">
        <v>505</v>
      </c>
    </row>
    <row r="28" spans="1:1" x14ac:dyDescent="0.25">
      <c r="A28" t="s">
        <v>254</v>
      </c>
    </row>
    <row r="29" spans="1:1" x14ac:dyDescent="0.25">
      <c r="A29" t="s">
        <v>12</v>
      </c>
    </row>
    <row r="30" spans="1:1" x14ac:dyDescent="0.25">
      <c r="A30" t="s">
        <v>446</v>
      </c>
    </row>
    <row r="31" spans="1:1" x14ac:dyDescent="0.25">
      <c r="A31" t="s">
        <v>434</v>
      </c>
    </row>
    <row r="32" spans="1:1" x14ac:dyDescent="0.25">
      <c r="A32" t="s">
        <v>681</v>
      </c>
    </row>
    <row r="33" spans="1:1" x14ac:dyDescent="0.25">
      <c r="A33" t="s">
        <v>447</v>
      </c>
    </row>
    <row r="34" spans="1:1" x14ac:dyDescent="0.25">
      <c r="A34" t="s">
        <v>435</v>
      </c>
    </row>
    <row r="35" spans="1:1" x14ac:dyDescent="0.25">
      <c r="A35" t="s">
        <v>459</v>
      </c>
    </row>
    <row r="36" spans="1:1" x14ac:dyDescent="0.25">
      <c r="A36" t="s">
        <v>44</v>
      </c>
    </row>
    <row r="37" spans="1:1" x14ac:dyDescent="0.25">
      <c r="A37" t="s">
        <v>456</v>
      </c>
    </row>
    <row r="38" spans="1:1" x14ac:dyDescent="0.25">
      <c r="A38" s="21" t="s">
        <v>653</v>
      </c>
    </row>
    <row r="39" spans="1:1" x14ac:dyDescent="0.25">
      <c r="A39" t="s">
        <v>448</v>
      </c>
    </row>
    <row r="40" spans="1:1" x14ac:dyDescent="0.25">
      <c r="A40" t="s">
        <v>230</v>
      </c>
    </row>
    <row r="41" spans="1:1" x14ac:dyDescent="0.25">
      <c r="A41" t="s">
        <v>449</v>
      </c>
    </row>
    <row r="42" spans="1:1" x14ac:dyDescent="0.25">
      <c r="A42" t="s">
        <v>436</v>
      </c>
    </row>
    <row r="43" spans="1:1" x14ac:dyDescent="0.25">
      <c r="A43" t="s">
        <v>140</v>
      </c>
    </row>
    <row r="44" spans="1:1" x14ac:dyDescent="0.25">
      <c r="A44" t="s">
        <v>290</v>
      </c>
    </row>
    <row r="45" spans="1:1" x14ac:dyDescent="0.25">
      <c r="A45" s="35" t="s">
        <v>31</v>
      </c>
    </row>
    <row r="46" spans="1:1" x14ac:dyDescent="0.25">
      <c r="A46" t="s">
        <v>450</v>
      </c>
    </row>
    <row r="47" spans="1:1" x14ac:dyDescent="0.25">
      <c r="A47" t="s">
        <v>8</v>
      </c>
    </row>
    <row r="48" spans="1:1" x14ac:dyDescent="0.25">
      <c r="A48" t="s">
        <v>238</v>
      </c>
    </row>
    <row r="49" spans="1:1" x14ac:dyDescent="0.25">
      <c r="A49" t="s">
        <v>451</v>
      </c>
    </row>
    <row r="50" spans="1:1" x14ac:dyDescent="0.25">
      <c r="A50" t="s">
        <v>691</v>
      </c>
    </row>
    <row r="51" spans="1:1" x14ac:dyDescent="0.25">
      <c r="A51" t="s">
        <v>34</v>
      </c>
    </row>
    <row r="52" spans="1:1" x14ac:dyDescent="0.25">
      <c r="A52" t="s">
        <v>422</v>
      </c>
    </row>
    <row r="53" spans="1:1" x14ac:dyDescent="0.25">
      <c r="A53" t="s">
        <v>222</v>
      </c>
    </row>
    <row r="54" spans="1:1" x14ac:dyDescent="0.25">
      <c r="A54" s="21" t="s">
        <v>376</v>
      </c>
    </row>
    <row r="55" spans="1:1" x14ac:dyDescent="0.25">
      <c r="A55" t="s">
        <v>452</v>
      </c>
    </row>
    <row r="56" spans="1:1" x14ac:dyDescent="0.25">
      <c r="A56" t="s">
        <v>267</v>
      </c>
    </row>
    <row r="57" spans="1:1" x14ac:dyDescent="0.25">
      <c r="A57" t="s">
        <v>437</v>
      </c>
    </row>
    <row r="58" spans="1:1" x14ac:dyDescent="0.25">
      <c r="A58" t="s">
        <v>49</v>
      </c>
    </row>
    <row r="59" spans="1:1" x14ac:dyDescent="0.25">
      <c r="A59" t="s">
        <v>506</v>
      </c>
    </row>
    <row r="60" spans="1:1" x14ac:dyDescent="0.25">
      <c r="A60" t="s">
        <v>313</v>
      </c>
    </row>
    <row r="61" spans="1:1" x14ac:dyDescent="0.25">
      <c r="A61" t="s">
        <v>453</v>
      </c>
    </row>
    <row r="62" spans="1:1" x14ac:dyDescent="0.25">
      <c r="A62" t="s">
        <v>18</v>
      </c>
    </row>
    <row r="63" spans="1:1" x14ac:dyDescent="0.25">
      <c r="A63" t="s">
        <v>100</v>
      </c>
    </row>
    <row r="64" spans="1:1" x14ac:dyDescent="0.25">
      <c r="A64" s="35" t="s">
        <v>138</v>
      </c>
    </row>
    <row r="65" spans="1:1" x14ac:dyDescent="0.25">
      <c r="A65" s="35" t="s">
        <v>454</v>
      </c>
    </row>
    <row r="66" spans="1:1" x14ac:dyDescent="0.25">
      <c r="A66" t="s">
        <v>271</v>
      </c>
    </row>
    <row r="67" spans="1:1" x14ac:dyDescent="0.25">
      <c r="A67" t="s">
        <v>438</v>
      </c>
    </row>
    <row r="68" spans="1:1" x14ac:dyDescent="0.25">
      <c r="A68" t="s">
        <v>345</v>
      </c>
    </row>
    <row r="69" spans="1:1" x14ac:dyDescent="0.25">
      <c r="A69" t="s">
        <v>455</v>
      </c>
    </row>
    <row r="70" spans="1:1" x14ac:dyDescent="0.25">
      <c r="A70" t="s">
        <v>38</v>
      </c>
    </row>
    <row r="71" spans="1:1" x14ac:dyDescent="0.25">
      <c r="A71" t="s">
        <v>1654</v>
      </c>
    </row>
    <row r="72" spans="1:1" x14ac:dyDescent="0.25">
      <c r="A72" t="s">
        <v>1872</v>
      </c>
    </row>
    <row r="73" spans="1:1" x14ac:dyDescent="0.25">
      <c r="A73" t="s">
        <v>1878</v>
      </c>
    </row>
    <row r="74" spans="1:1" x14ac:dyDescent="0.25">
      <c r="A74" t="s">
        <v>1848</v>
      </c>
    </row>
    <row r="75" spans="1:1" x14ac:dyDescent="0.25">
      <c r="A75" t="s">
        <v>1798</v>
      </c>
    </row>
    <row r="76" spans="1:1" x14ac:dyDescent="0.25">
      <c r="A76" t="s">
        <v>1928</v>
      </c>
    </row>
    <row r="77" spans="1:1" x14ac:dyDescent="0.25">
      <c r="A77" t="s">
        <v>1922</v>
      </c>
    </row>
  </sheetData>
  <conditionalFormatting sqref="A12">
    <cfRule type="expression" dxfId="5" priority="7">
      <formula>"COUNTIF(K3:K47,E4)&lt;1"</formula>
    </cfRule>
  </conditionalFormatting>
  <conditionalFormatting sqref="A45">
    <cfRule type="expression" dxfId="4" priority="5">
      <formula>"COUNTIF(K3:K47,E4)&lt;1"</formula>
    </cfRule>
  </conditionalFormatting>
  <conditionalFormatting sqref="A57">
    <cfRule type="expression" dxfId="3" priority="4">
      <formula>"COUNTIF(K3:K47,E4)&lt;1"</formula>
    </cfRule>
  </conditionalFormatting>
  <conditionalFormatting sqref="A64">
    <cfRule type="expression" dxfId="2" priority="3">
      <formula>"COUNTIF(K3:K47,E4)&lt;1"</formula>
    </cfRule>
  </conditionalFormatting>
  <conditionalFormatting sqref="A26">
    <cfRule type="expression" dxfId="1" priority="2">
      <formula>"COUNTIF(K3:K47,E4)&lt;1"</formula>
    </cfRule>
  </conditionalFormatting>
  <conditionalFormatting sqref="A65">
    <cfRule type="expression" dxfId="0" priority="1">
      <formula>"COUNTIF(K3:K47,E4)&lt;1"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9AA7F-A8D7-4070-8E07-7E9F4519BE98}">
  <sheetPr codeName="Sheet5"/>
  <dimension ref="A1:C18"/>
  <sheetViews>
    <sheetView workbookViewId="0">
      <selection activeCell="C19" sqref="C19"/>
    </sheetView>
  </sheetViews>
  <sheetFormatPr defaultRowHeight="15" x14ac:dyDescent="0.25"/>
  <cols>
    <col min="1" max="1" width="12.28515625" bestFit="1" customWidth="1"/>
    <col min="2" max="2" width="16" customWidth="1"/>
    <col min="3" max="3" width="35.140625" customWidth="1"/>
  </cols>
  <sheetData>
    <row r="1" spans="1:3" x14ac:dyDescent="0.25">
      <c r="A1" t="s">
        <v>474</v>
      </c>
      <c r="B1" t="s">
        <v>476</v>
      </c>
      <c r="C1" t="s">
        <v>475</v>
      </c>
    </row>
    <row r="2" spans="1:3" x14ac:dyDescent="0.25">
      <c r="A2">
        <v>1</v>
      </c>
      <c r="B2" t="s">
        <v>477</v>
      </c>
      <c r="C2" t="s">
        <v>478</v>
      </c>
    </row>
    <row r="3" spans="1:3" x14ac:dyDescent="0.25">
      <c r="A3">
        <v>2</v>
      </c>
      <c r="B3" t="s">
        <v>479</v>
      </c>
      <c r="C3" t="s">
        <v>480</v>
      </c>
    </row>
    <row r="4" spans="1:3" x14ac:dyDescent="0.25">
      <c r="A4">
        <v>3</v>
      </c>
      <c r="B4" t="s">
        <v>482</v>
      </c>
      <c r="C4" t="s">
        <v>481</v>
      </c>
    </row>
    <row r="5" spans="1:3" x14ac:dyDescent="0.25">
      <c r="A5">
        <v>4</v>
      </c>
      <c r="B5" t="s">
        <v>483</v>
      </c>
      <c r="C5" t="s">
        <v>484</v>
      </c>
    </row>
    <row r="6" spans="1:3" x14ac:dyDescent="0.25">
      <c r="A6">
        <v>5</v>
      </c>
      <c r="B6" t="s">
        <v>485</v>
      </c>
      <c r="C6" t="s">
        <v>486</v>
      </c>
    </row>
    <row r="7" spans="1:3" x14ac:dyDescent="0.25">
      <c r="A7">
        <v>6</v>
      </c>
      <c r="B7" t="s">
        <v>487</v>
      </c>
      <c r="C7" t="s">
        <v>488</v>
      </c>
    </row>
    <row r="8" spans="1:3" x14ac:dyDescent="0.25">
      <c r="A8">
        <v>7</v>
      </c>
      <c r="B8" t="s">
        <v>489</v>
      </c>
      <c r="C8" t="s">
        <v>490</v>
      </c>
    </row>
    <row r="9" spans="1:3" x14ac:dyDescent="0.25">
      <c r="A9">
        <v>8</v>
      </c>
      <c r="B9" t="s">
        <v>491</v>
      </c>
      <c r="C9" t="s">
        <v>492</v>
      </c>
    </row>
    <row r="10" spans="1:3" x14ac:dyDescent="0.25">
      <c r="A10">
        <v>9</v>
      </c>
      <c r="B10" t="s">
        <v>493</v>
      </c>
      <c r="C10" t="s">
        <v>494</v>
      </c>
    </row>
    <row r="11" spans="1:3" x14ac:dyDescent="0.25">
      <c r="A11">
        <v>10</v>
      </c>
      <c r="B11" t="s">
        <v>495</v>
      </c>
      <c r="C11" t="s">
        <v>496</v>
      </c>
    </row>
    <row r="12" spans="1:3" x14ac:dyDescent="0.25">
      <c r="A12">
        <v>11</v>
      </c>
      <c r="B12" t="s">
        <v>497</v>
      </c>
      <c r="C12" t="s">
        <v>445</v>
      </c>
    </row>
    <row r="13" spans="1:3" x14ac:dyDescent="0.25">
      <c r="A13">
        <v>12</v>
      </c>
      <c r="B13" t="s">
        <v>498</v>
      </c>
      <c r="C13" t="s">
        <v>499</v>
      </c>
    </row>
    <row r="17" spans="1:3" x14ac:dyDescent="0.25">
      <c r="A17" t="s">
        <v>1008</v>
      </c>
      <c r="B17" t="s">
        <v>1009</v>
      </c>
      <c r="C17" t="s">
        <v>1010</v>
      </c>
    </row>
    <row r="18" spans="1:3" x14ac:dyDescent="0.25">
      <c r="A18" t="s">
        <v>1007</v>
      </c>
      <c r="B18" t="s">
        <v>1006</v>
      </c>
      <c r="C18">
        <v>10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Overall</vt:lpstr>
      <vt:lpstr>1SH</vt:lpstr>
      <vt:lpstr>2CM</vt:lpstr>
      <vt:lpstr>3Mooch</vt:lpstr>
      <vt:lpstr>4HPHC</vt:lpstr>
      <vt:lpstr>5Somerset</vt:lpstr>
      <vt:lpstr>6Oldmans</vt:lpstr>
      <vt:lpstr>7Kingwood</vt:lpstr>
      <vt:lpstr>8Chatsworth</vt:lpstr>
      <vt:lpstr>9Sandrinos</vt:lpstr>
      <vt:lpstr>10Silvermine</vt:lpstr>
      <vt:lpstr>Teams</vt:lpstr>
      <vt:lpstr>Races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Sedlak</dc:creator>
  <cp:lastModifiedBy>John Sedlak</cp:lastModifiedBy>
  <cp:lastPrinted>2018-07-05T19:14:51Z</cp:lastPrinted>
  <dcterms:created xsi:type="dcterms:W3CDTF">2018-04-01T09:46:29Z</dcterms:created>
  <dcterms:modified xsi:type="dcterms:W3CDTF">2018-08-27T14:54:11Z</dcterms:modified>
</cp:coreProperties>
</file>